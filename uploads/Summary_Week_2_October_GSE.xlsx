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Next2Level\GSE\GSE\Dimensionamiento\Weekly Schedule\10. October\Week 2\"/>
    </mc:Choice>
  </mc:AlternateContent>
  <xr:revisionPtr revIDLastSave="0" documentId="13_ncr:1_{03A076F2-2181-470D-AB58-BFDE68EB78D3}" xr6:coauthVersionLast="47" xr6:coauthVersionMax="47" xr10:uidLastSave="{00000000-0000-0000-0000-000000000000}"/>
  <bookViews>
    <workbookView xWindow="-120" yWindow="-120" windowWidth="29040" windowHeight="15720" xr2:uid="{D7FC0E27-C700-4286-A20D-8FA35114EA15}"/>
  </bookViews>
  <sheets>
    <sheet name="Summary" sheetId="1" r:id="rId1"/>
    <sheet name="Intraday" sheetId="4" r:id="rId2"/>
    <sheet name="Schedule" sheetId="6" r:id="rId3"/>
    <sheet name="BBDD" sheetId="2" state="veryHidden" r:id="rId4"/>
  </sheets>
  <definedNames>
    <definedName name="_xlnm._FilterDatabase" localSheetId="3" hidden="1">BBDD!$B$3:$Q$227</definedName>
    <definedName name="_xlnm._FilterDatabase" localSheetId="2" hidden="1">Schedule!$B$5:$BH$39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28" i="2" l="1"/>
  <c r="T228" i="2"/>
  <c r="U228" i="2"/>
  <c r="S229" i="2"/>
  <c r="T229" i="2"/>
  <c r="U229" i="2"/>
  <c r="S230" i="2"/>
  <c r="T230" i="2"/>
  <c r="U230" i="2"/>
  <c r="S231" i="2"/>
  <c r="T231" i="2"/>
  <c r="U231" i="2"/>
  <c r="S232" i="2"/>
  <c r="T232" i="2"/>
  <c r="U232" i="2"/>
  <c r="S233" i="2"/>
  <c r="T233" i="2"/>
  <c r="U233" i="2"/>
  <c r="S234" i="2"/>
  <c r="T234" i="2"/>
  <c r="U234" i="2"/>
  <c r="S235" i="2"/>
  <c r="T235" i="2"/>
  <c r="U235" i="2"/>
  <c r="S236" i="2"/>
  <c r="T236" i="2"/>
  <c r="U236" i="2"/>
  <c r="S237" i="2"/>
  <c r="T237" i="2"/>
  <c r="U237" i="2"/>
  <c r="S238" i="2"/>
  <c r="T238" i="2"/>
  <c r="U238" i="2"/>
  <c r="S239" i="2"/>
  <c r="T239" i="2"/>
  <c r="U239" i="2"/>
  <c r="S240" i="2"/>
  <c r="T240" i="2"/>
  <c r="U240" i="2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T451" i="2" l="1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AO3" i="4"/>
  <c r="AJ3" i="4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AJ3" i="1"/>
  <c r="I26" i="1" s="1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I27" i="1" l="1"/>
  <c r="I30" i="1"/>
  <c r="C40" i="4"/>
  <c r="D41" i="4"/>
  <c r="H42" i="4"/>
  <c r="E55" i="4"/>
  <c r="K39" i="4"/>
  <c r="K67" i="4"/>
  <c r="D39" i="4"/>
  <c r="E49" i="4"/>
  <c r="E39" i="4"/>
  <c r="D43" i="4"/>
  <c r="E57" i="4"/>
  <c r="K43" i="4"/>
  <c r="F39" i="4"/>
  <c r="E43" i="4"/>
  <c r="E59" i="4"/>
  <c r="K47" i="4"/>
  <c r="E40" i="4"/>
  <c r="E45" i="4"/>
  <c r="E61" i="4"/>
  <c r="K51" i="4"/>
  <c r="H40" i="4"/>
  <c r="E47" i="4"/>
  <c r="E63" i="4"/>
  <c r="K55" i="4"/>
  <c r="E65" i="4"/>
  <c r="K59" i="4"/>
  <c r="E41" i="4"/>
  <c r="E51" i="4"/>
  <c r="E67" i="4"/>
  <c r="K63" i="4"/>
  <c r="E42" i="4"/>
  <c r="E53" i="4"/>
  <c r="E69" i="4"/>
  <c r="H39" i="4"/>
  <c r="F41" i="4"/>
  <c r="F43" i="4"/>
  <c r="F45" i="4"/>
  <c r="F47" i="4"/>
  <c r="F49" i="4"/>
  <c r="F51" i="4"/>
  <c r="F53" i="4"/>
  <c r="F55" i="4"/>
  <c r="F57" i="4"/>
  <c r="F59" i="4"/>
  <c r="F61" i="4"/>
  <c r="F63" i="4"/>
  <c r="F65" i="4"/>
  <c r="F67" i="4"/>
  <c r="F69" i="4"/>
  <c r="J40" i="4"/>
  <c r="J44" i="4"/>
  <c r="J48" i="4"/>
  <c r="J52" i="4"/>
  <c r="J56" i="4"/>
  <c r="J60" i="4"/>
  <c r="J64" i="4"/>
  <c r="J68" i="4"/>
  <c r="H41" i="4"/>
  <c r="H43" i="4"/>
  <c r="H45" i="4"/>
  <c r="H47" i="4"/>
  <c r="H49" i="4"/>
  <c r="H51" i="4"/>
  <c r="H53" i="4"/>
  <c r="H55" i="4"/>
  <c r="I55" i="4" s="1"/>
  <c r="H57" i="4"/>
  <c r="H59" i="4"/>
  <c r="H61" i="4"/>
  <c r="H63" i="4"/>
  <c r="H65" i="4"/>
  <c r="H67" i="4"/>
  <c r="H69" i="4"/>
  <c r="K40" i="4"/>
  <c r="K44" i="4"/>
  <c r="K48" i="4"/>
  <c r="K52" i="4"/>
  <c r="K56" i="4"/>
  <c r="K60" i="4"/>
  <c r="K64" i="4"/>
  <c r="K68" i="4"/>
  <c r="D40" i="4"/>
  <c r="L40" i="4" s="1"/>
  <c r="D42" i="4"/>
  <c r="D44" i="4"/>
  <c r="D46" i="4"/>
  <c r="D48" i="4"/>
  <c r="D50" i="4"/>
  <c r="D52" i="4"/>
  <c r="D54" i="4"/>
  <c r="D56" i="4"/>
  <c r="D58" i="4"/>
  <c r="D60" i="4"/>
  <c r="D62" i="4"/>
  <c r="D64" i="4"/>
  <c r="D66" i="4"/>
  <c r="D68" i="4"/>
  <c r="D70" i="4"/>
  <c r="J41" i="4"/>
  <c r="J45" i="4"/>
  <c r="J49" i="4"/>
  <c r="J53" i="4"/>
  <c r="J57" i="4"/>
  <c r="J61" i="4"/>
  <c r="J65" i="4"/>
  <c r="J69" i="4"/>
  <c r="E44" i="4"/>
  <c r="E46" i="4"/>
  <c r="E48" i="4"/>
  <c r="E50" i="4"/>
  <c r="E52" i="4"/>
  <c r="E54" i="4"/>
  <c r="E56" i="4"/>
  <c r="E58" i="4"/>
  <c r="E60" i="4"/>
  <c r="E62" i="4"/>
  <c r="E64" i="4"/>
  <c r="E66" i="4"/>
  <c r="E68" i="4"/>
  <c r="E70" i="4"/>
  <c r="K41" i="4"/>
  <c r="K45" i="4"/>
  <c r="K49" i="4"/>
  <c r="K53" i="4"/>
  <c r="K57" i="4"/>
  <c r="K61" i="4"/>
  <c r="K65" i="4"/>
  <c r="K69" i="4"/>
  <c r="F40" i="4"/>
  <c r="F42" i="4"/>
  <c r="I42" i="4" s="1"/>
  <c r="F44" i="4"/>
  <c r="F46" i="4"/>
  <c r="F48" i="4"/>
  <c r="F50" i="4"/>
  <c r="F52" i="4"/>
  <c r="F54" i="4"/>
  <c r="F56" i="4"/>
  <c r="F58" i="4"/>
  <c r="F60" i="4"/>
  <c r="F62" i="4"/>
  <c r="F64" i="4"/>
  <c r="F66" i="4"/>
  <c r="F68" i="4"/>
  <c r="F70" i="4"/>
  <c r="J42" i="4"/>
  <c r="J46" i="4"/>
  <c r="J50" i="4"/>
  <c r="J54" i="4"/>
  <c r="J58" i="4"/>
  <c r="J62" i="4"/>
  <c r="J66" i="4"/>
  <c r="J70" i="4"/>
  <c r="H44" i="4"/>
  <c r="H46" i="4"/>
  <c r="I46" i="4" s="1"/>
  <c r="H48" i="4"/>
  <c r="H50" i="4"/>
  <c r="H52" i="4"/>
  <c r="H54" i="4"/>
  <c r="H56" i="4"/>
  <c r="H58" i="4"/>
  <c r="H60" i="4"/>
  <c r="H62" i="4"/>
  <c r="I62" i="4" s="1"/>
  <c r="H64" i="4"/>
  <c r="H66" i="4"/>
  <c r="H68" i="4"/>
  <c r="H70" i="4"/>
  <c r="K42" i="4"/>
  <c r="K46" i="4"/>
  <c r="K50" i="4"/>
  <c r="K54" i="4"/>
  <c r="K58" i="4"/>
  <c r="K62" i="4"/>
  <c r="K66" i="4"/>
  <c r="K70" i="4"/>
  <c r="D45" i="4"/>
  <c r="D47" i="4"/>
  <c r="D49" i="4"/>
  <c r="D51" i="4"/>
  <c r="D53" i="4"/>
  <c r="D55" i="4"/>
  <c r="D57" i="4"/>
  <c r="D59" i="4"/>
  <c r="D61" i="4"/>
  <c r="D63" i="4"/>
  <c r="D65" i="4"/>
  <c r="D67" i="4"/>
  <c r="D69" i="4"/>
  <c r="J39" i="4"/>
  <c r="J43" i="4"/>
  <c r="J47" i="4"/>
  <c r="J51" i="4"/>
  <c r="J55" i="4"/>
  <c r="J59" i="4"/>
  <c r="J63" i="4"/>
  <c r="J67" i="4"/>
  <c r="C55" i="4"/>
  <c r="C41" i="4"/>
  <c r="L41" i="4" s="1"/>
  <c r="C49" i="4"/>
  <c r="C57" i="4"/>
  <c r="C65" i="4"/>
  <c r="C42" i="4"/>
  <c r="C50" i="4"/>
  <c r="C58" i="4"/>
  <c r="C66" i="4"/>
  <c r="C56" i="4"/>
  <c r="C43" i="4"/>
  <c r="L43" i="4" s="1"/>
  <c r="C51" i="4"/>
  <c r="C59" i="4"/>
  <c r="C67" i="4"/>
  <c r="C48" i="4"/>
  <c r="C44" i="4"/>
  <c r="C52" i="4"/>
  <c r="C60" i="4"/>
  <c r="C68" i="4"/>
  <c r="C64" i="4"/>
  <c r="C45" i="4"/>
  <c r="C53" i="4"/>
  <c r="C61" i="4"/>
  <c r="C69" i="4"/>
  <c r="C39" i="4"/>
  <c r="C47" i="4"/>
  <c r="C63" i="4"/>
  <c r="C46" i="4"/>
  <c r="C54" i="4"/>
  <c r="C62" i="4"/>
  <c r="C70" i="4"/>
  <c r="D22" i="1"/>
  <c r="E23" i="1"/>
  <c r="H27" i="1"/>
  <c r="I29" i="1"/>
  <c r="F24" i="1"/>
  <c r="G26" i="1"/>
  <c r="E22" i="1"/>
  <c r="F23" i="1"/>
  <c r="G24" i="1"/>
  <c r="H26" i="1"/>
  <c r="C30" i="1"/>
  <c r="F22" i="1"/>
  <c r="G23" i="1"/>
  <c r="H24" i="1"/>
  <c r="C29" i="1"/>
  <c r="D30" i="1"/>
  <c r="G22" i="1"/>
  <c r="H23" i="1"/>
  <c r="I24" i="1"/>
  <c r="C27" i="1"/>
  <c r="D29" i="1"/>
  <c r="E30" i="1"/>
  <c r="H22" i="1"/>
  <c r="I23" i="1"/>
  <c r="C26" i="1"/>
  <c r="D27" i="1"/>
  <c r="E29" i="1"/>
  <c r="F30" i="1"/>
  <c r="I22" i="1"/>
  <c r="C24" i="1"/>
  <c r="D26" i="1"/>
  <c r="E27" i="1"/>
  <c r="F29" i="1"/>
  <c r="G30" i="1"/>
  <c r="C23" i="1"/>
  <c r="D24" i="1"/>
  <c r="E26" i="1"/>
  <c r="F27" i="1"/>
  <c r="G29" i="1"/>
  <c r="H30" i="1"/>
  <c r="C22" i="1"/>
  <c r="D23" i="1"/>
  <c r="E24" i="1"/>
  <c r="F26" i="1"/>
  <c r="G27" i="1"/>
  <c r="H29" i="1"/>
  <c r="I31" i="1" l="1"/>
  <c r="F31" i="1"/>
  <c r="C31" i="1"/>
  <c r="G31" i="1"/>
  <c r="D31" i="1"/>
  <c r="H31" i="1"/>
  <c r="E31" i="1"/>
  <c r="H28" i="1"/>
  <c r="I63" i="4"/>
  <c r="I47" i="4"/>
  <c r="I70" i="4"/>
  <c r="I54" i="4"/>
  <c r="J27" i="1"/>
  <c r="I49" i="4"/>
  <c r="I40" i="4"/>
  <c r="I39" i="4"/>
  <c r="I41" i="4"/>
  <c r="I66" i="4"/>
  <c r="I50" i="4"/>
  <c r="I59" i="4"/>
  <c r="I43" i="4"/>
  <c r="I65" i="4"/>
  <c r="I56" i="4"/>
  <c r="I58" i="4"/>
  <c r="I68" i="4"/>
  <c r="I52" i="4"/>
  <c r="I64" i="4"/>
  <c r="I48" i="4"/>
  <c r="I44" i="4"/>
  <c r="I53" i="4"/>
  <c r="I69" i="4"/>
  <c r="I60" i="4"/>
  <c r="L69" i="4"/>
  <c r="L53" i="4"/>
  <c r="F38" i="4"/>
  <c r="I67" i="4"/>
  <c r="I51" i="4"/>
  <c r="L64" i="4"/>
  <c r="L48" i="4"/>
  <c r="I57" i="4"/>
  <c r="E38" i="4"/>
  <c r="L67" i="4"/>
  <c r="L51" i="4"/>
  <c r="L62" i="4"/>
  <c r="L46" i="4"/>
  <c r="I61" i="4"/>
  <c r="I45" i="4"/>
  <c r="L65" i="4"/>
  <c r="L49" i="4"/>
  <c r="L60" i="4"/>
  <c r="L44" i="4"/>
  <c r="L63" i="4"/>
  <c r="L47" i="4"/>
  <c r="L58" i="4"/>
  <c r="L42" i="4"/>
  <c r="H38" i="4"/>
  <c r="L39" i="4"/>
  <c r="L61" i="4"/>
  <c r="L45" i="4"/>
  <c r="L56" i="4"/>
  <c r="L59" i="4"/>
  <c r="L70" i="4"/>
  <c r="L54" i="4"/>
  <c r="L57" i="4"/>
  <c r="L68" i="4"/>
  <c r="L52" i="4"/>
  <c r="L55" i="4"/>
  <c r="L66" i="4"/>
  <c r="L50" i="4"/>
  <c r="C38" i="4"/>
  <c r="J38" i="4" s="1"/>
  <c r="D28" i="1"/>
  <c r="G28" i="1"/>
  <c r="J26" i="1"/>
  <c r="C28" i="1"/>
  <c r="E28" i="1"/>
  <c r="J24" i="1"/>
  <c r="F28" i="1"/>
  <c r="I28" i="1"/>
  <c r="J22" i="1"/>
  <c r="J23" i="1" s="1"/>
  <c r="I38" i="4" l="1"/>
  <c r="K38" i="4"/>
  <c r="D38" i="4"/>
  <c r="L38" i="4" s="1"/>
  <c r="G38" i="4"/>
  <c r="J28" i="1"/>
  <c r="J30" i="1"/>
  <c r="J29" i="1"/>
  <c r="U196" i="2" l="1"/>
  <c r="U204" i="2"/>
  <c r="U212" i="2"/>
  <c r="U220" i="2"/>
  <c r="U201" i="2"/>
  <c r="U209" i="2"/>
  <c r="U217" i="2"/>
  <c r="U225" i="2"/>
  <c r="U198" i="2"/>
  <c r="U206" i="2"/>
  <c r="U214" i="2"/>
  <c r="U222" i="2"/>
  <c r="U199" i="2"/>
  <c r="U207" i="2"/>
  <c r="U215" i="2"/>
  <c r="U223" i="2"/>
  <c r="U203" i="2"/>
  <c r="U211" i="2"/>
  <c r="U219" i="2"/>
  <c r="U227" i="2"/>
  <c r="U197" i="2"/>
  <c r="U200" i="2"/>
  <c r="U202" i="2"/>
  <c r="U205" i="2"/>
  <c r="U208" i="2"/>
  <c r="U210" i="2"/>
  <c r="U213" i="2"/>
  <c r="U216" i="2"/>
  <c r="U218" i="2"/>
  <c r="U221" i="2"/>
  <c r="U224" i="2"/>
  <c r="U226" i="2"/>
  <c r="J31" i="1" l="1"/>
</calcChain>
</file>

<file path=xl/sharedStrings.xml><?xml version="1.0" encoding="utf-8"?>
<sst xmlns="http://schemas.openxmlformats.org/spreadsheetml/2006/main" count="1267" uniqueCount="74">
  <si>
    <t>Seleccione Canal</t>
  </si>
  <si>
    <t>Chat</t>
  </si>
  <si>
    <t>Voz</t>
  </si>
  <si>
    <t>Lunes</t>
  </si>
  <si>
    <t>Martes</t>
  </si>
  <si>
    <t>Miércoles</t>
  </si>
  <si>
    <t>Jueves</t>
  </si>
  <si>
    <t>Viernes</t>
  </si>
  <si>
    <t>Sábado</t>
  </si>
  <si>
    <t>Domingo</t>
  </si>
  <si>
    <t>Total</t>
  </si>
  <si>
    <t>Llamadas Pronosticadas</t>
  </si>
  <si>
    <t>TMO (seg.)</t>
  </si>
  <si>
    <t>Asesores Requeridos</t>
  </si>
  <si>
    <t>Ases. Req con Reductores</t>
  </si>
  <si>
    <t>% Reductor</t>
  </si>
  <si>
    <t>Asesores Programados</t>
  </si>
  <si>
    <t>Diferencia</t>
  </si>
  <si>
    <t>% Nivel Serv. Esperado</t>
  </si>
  <si>
    <t>% Nivel Atención</t>
  </si>
  <si>
    <t>% Ocupación</t>
  </si>
  <si>
    <t>Seleccione Día</t>
  </si>
  <si>
    <t>Intervalos</t>
  </si>
  <si>
    <t>Nombre</t>
  </si>
  <si>
    <t>Total Horas</t>
  </si>
  <si>
    <t>Canal</t>
  </si>
  <si>
    <t>Miercoles</t>
  </si>
  <si>
    <t>SHIFT</t>
  </si>
  <si>
    <t>BREAK 1</t>
  </si>
  <si>
    <t>BREAK 2</t>
  </si>
  <si>
    <t>LUNCH</t>
  </si>
  <si>
    <t>Start</t>
  </si>
  <si>
    <t>End</t>
  </si>
  <si>
    <t>JESICA TATIANA IBAÑEZ PACAVITA</t>
  </si>
  <si>
    <t>ANDRES FELIPE RINCON AGUDELO</t>
  </si>
  <si>
    <t>JOSE EDWIN RONCANCIO RIVERA</t>
  </si>
  <si>
    <t>JORGE EDUARDO RODRIGUEZ BUITRAGO</t>
  </si>
  <si>
    <t>SANDRA MILENA RUIZ</t>
  </si>
  <si>
    <t>SAIDA DANIELA BARRAGÁN SANCHEZ</t>
  </si>
  <si>
    <t>JUAN CARLOS SEPULVEDA DAZA</t>
  </si>
  <si>
    <t>IVAN CAMILO MOTIVAR PIRA</t>
  </si>
  <si>
    <t>JEIMY ALEXANDRA SABA HEREDIA</t>
  </si>
  <si>
    <t>JAVIER MAURICIO QUINTERO OLIVEROS</t>
  </si>
  <si>
    <t>WILSON ALBEIRO AVENDAÑO RODRIGUEZ</t>
  </si>
  <si>
    <t>MARÍA CAMILA TANGARIFE RAMIREZ</t>
  </si>
  <si>
    <t>ISABELLA MARTINEZ POLOCHE</t>
  </si>
  <si>
    <t>EDISON ALEXANDER ESCOBAR AMAYA</t>
  </si>
  <si>
    <t>AVILA CAMACHO DAVID ANDRES</t>
  </si>
  <si>
    <t>JUAN FRAANCISCO MONROY MONGUA</t>
  </si>
  <si>
    <t>YADIR ALEJANDRO LEON BARRERA</t>
  </si>
  <si>
    <t>DANIELA ESTEFANIA SANDOVAL ALVAREZ</t>
  </si>
  <si>
    <t>DAYANA STEFANI PINEDA MOYANO</t>
  </si>
  <si>
    <t>CAMILO ANDRÉS SILVA FLÓREZ</t>
  </si>
  <si>
    <t>CARLOS ALBERTO GRANADOS FLOREZ</t>
  </si>
  <si>
    <t>NUÑEZ PARRA YURY MARCELA</t>
  </si>
  <si>
    <t>CLAUDIA MARCELA BELTRAN ROZO</t>
  </si>
  <si>
    <t>MERCY LILIANA CASTEBLANCO NOVOA</t>
  </si>
  <si>
    <t>ADRIANA SARMIENTO HIGUERA</t>
  </si>
  <si>
    <t>BERTHA JULIET SANDOVAL AMAYA</t>
  </si>
  <si>
    <t>HASSLY JULIETH BONILLA CRUZ</t>
  </si>
  <si>
    <t>DEISY YOHANA BUITRAGO ESPITIA</t>
  </si>
  <si>
    <t>WILSON FERNANDO ALVAREZ RAMIREZ</t>
  </si>
  <si>
    <t>EDISON SANTIAGO RODRIGUEZ FLOREZ</t>
  </si>
  <si>
    <t>ANDRES CAMILO GARCIA GONZALEZ</t>
  </si>
  <si>
    <t>FRANK SEBASTIAN LOPEZ BENAVIDES</t>
  </si>
  <si>
    <t>Dia</t>
  </si>
  <si>
    <t>Intervalo</t>
  </si>
  <si>
    <t>Pronóstico Llamadas</t>
  </si>
  <si>
    <t>U=Int. Tiempo/TMO</t>
  </si>
  <si>
    <t>Intensidad Tráfico (r)</t>
  </si>
  <si>
    <t>Prob Llam Cola (C(k,r))</t>
  </si>
  <si>
    <t>% Nivel Serv. Ideal</t>
  </si>
  <si>
    <t/>
  </si>
  <si>
    <t>Dia Think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</si>
</sst>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hh:mm:ss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A4F50"/>
        <bgColor indexed="64"/>
      </patternFill>
    </fill>
    <fill>
      <patternFill patternType="solid">
        <fgColor rgb="FFF4FEFD"/>
        <bgColor indexed="64"/>
      </patternFill>
    </fill>
    <fill>
      <patternFill patternType="solid">
        <fgColor rgb="FF0EF6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rgb="FF1B2223"/>
      </left>
      <right style="hair">
        <color rgb="FF1B2223"/>
      </right>
      <top style="hair">
        <color rgb="FF1B2223"/>
      </top>
      <bottom style="hair">
        <color rgb="FF1B2223"/>
      </bottom>
      <diagonal/>
    </border>
    <border>
      <left style="hair">
        <color rgb="FF3A4F50"/>
      </left>
      <right style="hair">
        <color rgb="FF3A4F50"/>
      </right>
      <top style="hair">
        <color rgb="FF3A4F50"/>
      </top>
      <bottom style="hair">
        <color rgb="FF3A4F50"/>
      </bottom>
      <diagonal/>
    </border>
  </borders>
  <cellStyleXfs count="1">
    <xf numFmtId="0" fontId="0" fillId="0" borderId="0"/>
  </cellStyleXfs>
  <cellXfs count="36">
    <xf numFmtId="0" fontId="0" fillId="0" borderId="0" xfId="0"/>
    <xf numFmtId="165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46" fontId="2" fillId="4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46" fontId="5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6" fontId="5" fillId="6" borderId="2" xfId="0" applyNumberFormat="1" applyFont="1" applyFill="1" applyBorder="1" applyAlignment="1">
      <alignment horizontal="center" vertical="center"/>
    </xf>
    <xf numFmtId="164" fontId="5" fillId="6" borderId="2" xfId="0" applyNumberFormat="1" applyFont="1" applyFill="1" applyBorder="1" applyAlignment="1">
      <alignment horizontal="center" vertical="center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A4F50"/>
      <color rgb="FFF4FEFD"/>
      <color rgb="FF0EF6CC"/>
      <color rgb="FF1B22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Summary!$B$22</c:f>
              <c:strCache>
                <c:ptCount val="1"/>
                <c:pt idx="0">
                  <c:v>Llamadas Pronosticadas</c:v>
                </c:pt>
              </c:strCache>
            </c:strRef>
          </c:tx>
          <c:spPr>
            <a:solidFill>
              <a:srgbClr val="3A4F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solidFill>
                <a:srgbClr val="3A4F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Summary!$C$21:$I$21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Summary!$C$22:$I$22</c:f>
              <c:numCache>
                <c:formatCode>#,##0</c:formatCode>
                <c:ptCount val="7"/>
                <c:pt idx="0">
                  <c:v>376</c:v>
                </c:pt>
                <c:pt idx="1">
                  <c:v>391</c:v>
                </c:pt>
                <c:pt idx="2">
                  <c:v>359</c:v>
                </c:pt>
                <c:pt idx="3">
                  <c:v>349</c:v>
                </c:pt>
                <c:pt idx="4">
                  <c:v>274</c:v>
                </c:pt>
                <c:pt idx="5">
                  <c:v>164</c:v>
                </c:pt>
                <c:pt idx="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A7-434B-AB96-1A0C55AB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438724464"/>
        <c:axId val="1438724880"/>
      </c:barChart>
      <c:lineChart>
        <c:grouping val="standard"/>
        <c:varyColors val="0"/>
        <c:ser>
          <c:idx val="1"/>
          <c:order val="1"/>
          <c:tx>
            <c:strRef>
              <c:f>Summary!$B$29</c:f>
              <c:strCache>
                <c:ptCount val="1"/>
                <c:pt idx="0">
                  <c:v>% Nivel Serv. Esperado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accent4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Summary!$C$21:$I$21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Summary!$C$29:$I$29</c:f>
              <c:numCache>
                <c:formatCode>0.00%</c:formatCode>
                <c:ptCount val="7"/>
                <c:pt idx="0">
                  <c:v>0.90389119239246596</c:v>
                </c:pt>
                <c:pt idx="1">
                  <c:v>0.88229671189242309</c:v>
                </c:pt>
                <c:pt idx="2">
                  <c:v>0.8819307636749778</c:v>
                </c:pt>
                <c:pt idx="3">
                  <c:v>0.95137518849277225</c:v>
                </c:pt>
                <c:pt idx="4">
                  <c:v>0.96157654597811459</c:v>
                </c:pt>
                <c:pt idx="5">
                  <c:v>0.91896954796663144</c:v>
                </c:pt>
                <c:pt idx="6">
                  <c:v>0.86740239337086678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A7-434B-AB96-1A0C55AB9BEF}"/>
            </c:ext>
          </c:extLst>
        </c:ser>
        <c:ser>
          <c:idx val="2"/>
          <c:order val="2"/>
          <c:tx>
            <c:strRef>
              <c:f>Summary!$B$30</c:f>
              <c:strCache>
                <c:ptCount val="1"/>
                <c:pt idx="0">
                  <c:v>% Nivel Atención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solidFill>
                <a:srgbClr val="00B050"/>
              </a:solidFill>
              <a:ln w="6350" cap="flat" cmpd="sng" algn="ctr">
                <a:solidFill>
                  <a:schemeClr val="accent6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Summary!$C$21:$I$21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Summary!$C$30:$I$30</c:f>
              <c:numCache>
                <c:formatCode>0.00%</c:formatCode>
                <c:ptCount val="7"/>
                <c:pt idx="0">
                  <c:v>1</c:v>
                </c:pt>
                <c:pt idx="1">
                  <c:v>0.96558939781446185</c:v>
                </c:pt>
                <c:pt idx="2">
                  <c:v>0.97467713345150675</c:v>
                </c:pt>
                <c:pt idx="3">
                  <c:v>0.97861422245376406</c:v>
                </c:pt>
                <c:pt idx="4">
                  <c:v>0.97653383310317643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A7-434B-AB96-1A0C55AB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708384"/>
        <c:axId val="228710464"/>
      </c:lineChart>
      <c:catAx>
        <c:axId val="143872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8724880"/>
        <c:crosses val="autoZero"/>
        <c:auto val="1"/>
        <c:lblAlgn val="ctr"/>
        <c:lblOffset val="100"/>
        <c:noMultiLvlLbl val="0"/>
      </c:catAx>
      <c:valAx>
        <c:axId val="143872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8724464"/>
        <c:crosses val="autoZero"/>
        <c:crossBetween val="between"/>
      </c:valAx>
      <c:valAx>
        <c:axId val="228710464"/>
        <c:scaling>
          <c:orientation val="minMax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08384"/>
        <c:crosses val="max"/>
        <c:crossBetween val="between"/>
      </c:valAx>
      <c:catAx>
        <c:axId val="228708384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22871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glow rad="101600">
        <a:schemeClr val="accent3">
          <a:satMod val="175000"/>
          <a:alpha val="40000"/>
        </a:schemeClr>
      </a:glow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sz="1100" b="1" i="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Intraday!$C$37</c:f>
              <c:strCache>
                <c:ptCount val="1"/>
                <c:pt idx="0">
                  <c:v>Llamadas Pronosticadas</c:v>
                </c:pt>
              </c:strCache>
            </c:strRef>
          </c:tx>
          <c:spPr>
            <a:solidFill>
              <a:srgbClr val="3A4F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Intraday!$B$39:$B$70</c:f>
              <c:numCache>
                <c:formatCode>[h]:mm:ss</c:formatCode>
                <c:ptCount val="32"/>
                <c:pt idx="0">
                  <c:v>0.25</c:v>
                </c:pt>
                <c:pt idx="1">
                  <c:v>0.27083333333333331</c:v>
                </c:pt>
                <c:pt idx="2">
                  <c:v>0.29166666666666669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0.35416666666666669</c:v>
                </c:pt>
                <c:pt idx="6">
                  <c:v>0.375</c:v>
                </c:pt>
                <c:pt idx="7">
                  <c:v>0.39583333333333331</c:v>
                </c:pt>
                <c:pt idx="8">
                  <c:v>0.41666666666666669</c:v>
                </c:pt>
                <c:pt idx="9">
                  <c:v>0.4375</c:v>
                </c:pt>
                <c:pt idx="10">
                  <c:v>0.45833333333333331</c:v>
                </c:pt>
                <c:pt idx="11">
                  <c:v>0.47916666666666669</c:v>
                </c:pt>
                <c:pt idx="12">
                  <c:v>0.5</c:v>
                </c:pt>
                <c:pt idx="13">
                  <c:v>0.52083333333333337</c:v>
                </c:pt>
                <c:pt idx="14">
                  <c:v>0.54166666666666663</c:v>
                </c:pt>
                <c:pt idx="15">
                  <c:v>0.5625</c:v>
                </c:pt>
                <c:pt idx="16">
                  <c:v>0.58333333333333337</c:v>
                </c:pt>
                <c:pt idx="17">
                  <c:v>0.60416666666666663</c:v>
                </c:pt>
                <c:pt idx="18">
                  <c:v>0.625</c:v>
                </c:pt>
                <c:pt idx="19">
                  <c:v>0.64583333333333337</c:v>
                </c:pt>
                <c:pt idx="20">
                  <c:v>0.66666666666666663</c:v>
                </c:pt>
                <c:pt idx="21">
                  <c:v>0.6875</c:v>
                </c:pt>
                <c:pt idx="22">
                  <c:v>0.70833333333333337</c:v>
                </c:pt>
                <c:pt idx="23">
                  <c:v>0.72916666666666663</c:v>
                </c:pt>
                <c:pt idx="24">
                  <c:v>0.75</c:v>
                </c:pt>
                <c:pt idx="25">
                  <c:v>0.77083333333333337</c:v>
                </c:pt>
                <c:pt idx="26">
                  <c:v>0.79166666666666663</c:v>
                </c:pt>
                <c:pt idx="27">
                  <c:v>0.8125</c:v>
                </c:pt>
                <c:pt idx="28">
                  <c:v>0.83333333333333337</c:v>
                </c:pt>
                <c:pt idx="29">
                  <c:v>0.85416666666666663</c:v>
                </c:pt>
                <c:pt idx="30">
                  <c:v>0.875</c:v>
                </c:pt>
                <c:pt idx="31">
                  <c:v>0.89583333333333337</c:v>
                </c:pt>
              </c:numCache>
            </c:numRef>
          </c:cat>
          <c:val>
            <c:numRef>
              <c:f>Intraday!$C$39:$C$70</c:f>
              <c:numCache>
                <c:formatCode>#,##0</c:formatCode>
                <c:ptCount val="32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20</c:v>
                </c:pt>
                <c:pt idx="5">
                  <c:v>18</c:v>
                </c:pt>
                <c:pt idx="6">
                  <c:v>17</c:v>
                </c:pt>
                <c:pt idx="7">
                  <c:v>22</c:v>
                </c:pt>
                <c:pt idx="8">
                  <c:v>24</c:v>
                </c:pt>
                <c:pt idx="9">
                  <c:v>20</c:v>
                </c:pt>
                <c:pt idx="10">
                  <c:v>16</c:v>
                </c:pt>
                <c:pt idx="11">
                  <c:v>19</c:v>
                </c:pt>
                <c:pt idx="12">
                  <c:v>12</c:v>
                </c:pt>
                <c:pt idx="13">
                  <c:v>7</c:v>
                </c:pt>
                <c:pt idx="14">
                  <c:v>12</c:v>
                </c:pt>
                <c:pt idx="15">
                  <c:v>10</c:v>
                </c:pt>
                <c:pt idx="16">
                  <c:v>21</c:v>
                </c:pt>
                <c:pt idx="17">
                  <c:v>15</c:v>
                </c:pt>
                <c:pt idx="18">
                  <c:v>21</c:v>
                </c:pt>
                <c:pt idx="19">
                  <c:v>14</c:v>
                </c:pt>
                <c:pt idx="20">
                  <c:v>23</c:v>
                </c:pt>
                <c:pt idx="21">
                  <c:v>22</c:v>
                </c:pt>
                <c:pt idx="22">
                  <c:v>14</c:v>
                </c:pt>
                <c:pt idx="23">
                  <c:v>16</c:v>
                </c:pt>
                <c:pt idx="24">
                  <c:v>7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2-4B7C-AB24-018730BE0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438724464"/>
        <c:axId val="1438724880"/>
      </c:barChart>
      <c:lineChart>
        <c:grouping val="standard"/>
        <c:varyColors val="0"/>
        <c:ser>
          <c:idx val="1"/>
          <c:order val="1"/>
          <c:tx>
            <c:strRef>
              <c:f>Intraday!$J$37</c:f>
              <c:strCache>
                <c:ptCount val="1"/>
                <c:pt idx="0">
                  <c:v>% Nivel Serv. Esperado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Intraday!$B$39:$B$70</c:f>
              <c:numCache>
                <c:formatCode>[h]:mm:ss</c:formatCode>
                <c:ptCount val="32"/>
                <c:pt idx="0">
                  <c:v>0.25</c:v>
                </c:pt>
                <c:pt idx="1">
                  <c:v>0.27083333333333331</c:v>
                </c:pt>
                <c:pt idx="2">
                  <c:v>0.29166666666666669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0.35416666666666669</c:v>
                </c:pt>
                <c:pt idx="6">
                  <c:v>0.375</c:v>
                </c:pt>
                <c:pt idx="7">
                  <c:v>0.39583333333333331</c:v>
                </c:pt>
                <c:pt idx="8">
                  <c:v>0.41666666666666669</c:v>
                </c:pt>
                <c:pt idx="9">
                  <c:v>0.4375</c:v>
                </c:pt>
                <c:pt idx="10">
                  <c:v>0.45833333333333331</c:v>
                </c:pt>
                <c:pt idx="11">
                  <c:v>0.47916666666666669</c:v>
                </c:pt>
                <c:pt idx="12">
                  <c:v>0.5</c:v>
                </c:pt>
                <c:pt idx="13">
                  <c:v>0.52083333333333337</c:v>
                </c:pt>
                <c:pt idx="14">
                  <c:v>0.54166666666666663</c:v>
                </c:pt>
                <c:pt idx="15">
                  <c:v>0.5625</c:v>
                </c:pt>
                <c:pt idx="16">
                  <c:v>0.58333333333333337</c:v>
                </c:pt>
                <c:pt idx="17">
                  <c:v>0.60416666666666663</c:v>
                </c:pt>
                <c:pt idx="18">
                  <c:v>0.625</c:v>
                </c:pt>
                <c:pt idx="19">
                  <c:v>0.64583333333333337</c:v>
                </c:pt>
                <c:pt idx="20">
                  <c:v>0.66666666666666663</c:v>
                </c:pt>
                <c:pt idx="21">
                  <c:v>0.6875</c:v>
                </c:pt>
                <c:pt idx="22">
                  <c:v>0.70833333333333337</c:v>
                </c:pt>
                <c:pt idx="23">
                  <c:v>0.72916666666666663</c:v>
                </c:pt>
                <c:pt idx="24">
                  <c:v>0.75</c:v>
                </c:pt>
                <c:pt idx="25">
                  <c:v>0.77083333333333337</c:v>
                </c:pt>
                <c:pt idx="26">
                  <c:v>0.79166666666666663</c:v>
                </c:pt>
                <c:pt idx="27">
                  <c:v>0.8125</c:v>
                </c:pt>
                <c:pt idx="28">
                  <c:v>0.83333333333333337</c:v>
                </c:pt>
                <c:pt idx="29">
                  <c:v>0.85416666666666663</c:v>
                </c:pt>
                <c:pt idx="30">
                  <c:v>0.875</c:v>
                </c:pt>
                <c:pt idx="31">
                  <c:v>0.89583333333333337</c:v>
                </c:pt>
              </c:numCache>
            </c:numRef>
          </c:cat>
          <c:val>
            <c:numRef>
              <c:f>Intraday!$J$39:$J$70</c:f>
              <c:numCache>
                <c:formatCode>0.00%</c:formatCode>
                <c:ptCount val="32"/>
                <c:pt idx="0">
                  <c:v>0</c:v>
                </c:pt>
                <c:pt idx="1">
                  <c:v>0.27670058608055115</c:v>
                </c:pt>
                <c:pt idx="2">
                  <c:v>0.94007736444473267</c:v>
                </c:pt>
                <c:pt idx="3">
                  <c:v>0.80857062339782715</c:v>
                </c:pt>
                <c:pt idx="4">
                  <c:v>0.8758467435836792</c:v>
                </c:pt>
                <c:pt idx="5">
                  <c:v>0.96428555250167847</c:v>
                </c:pt>
                <c:pt idx="6">
                  <c:v>0.99033105373382568</c:v>
                </c:pt>
                <c:pt idx="7">
                  <c:v>0.9314502477645874</c:v>
                </c:pt>
                <c:pt idx="8">
                  <c:v>0.98444193601608276</c:v>
                </c:pt>
                <c:pt idx="9">
                  <c:v>0.98467755317687988</c:v>
                </c:pt>
                <c:pt idx="10">
                  <c:v>0.99969446659088135</c:v>
                </c:pt>
                <c:pt idx="11">
                  <c:v>0.99816018342971802</c:v>
                </c:pt>
                <c:pt idx="12">
                  <c:v>0.96819412708282471</c:v>
                </c:pt>
                <c:pt idx="13">
                  <c:v>0.95676815509796143</c:v>
                </c:pt>
                <c:pt idx="14">
                  <c:v>0.99527251720428467</c:v>
                </c:pt>
                <c:pt idx="15">
                  <c:v>0.99990940093994141</c:v>
                </c:pt>
                <c:pt idx="16">
                  <c:v>0.91023868322372437</c:v>
                </c:pt>
                <c:pt idx="17">
                  <c:v>0.99619835615158081</c:v>
                </c:pt>
                <c:pt idx="18">
                  <c:v>0.98947972059249878</c:v>
                </c:pt>
                <c:pt idx="19">
                  <c:v>0.99998033046722412</c:v>
                </c:pt>
                <c:pt idx="20">
                  <c:v>0.97670537233352661</c:v>
                </c:pt>
                <c:pt idx="21">
                  <c:v>0.98378282785415649</c:v>
                </c:pt>
                <c:pt idx="22">
                  <c:v>0.51095938682556152</c:v>
                </c:pt>
                <c:pt idx="23">
                  <c:v>0.29517462849617004</c:v>
                </c:pt>
                <c:pt idx="24">
                  <c:v>0.71417397260665894</c:v>
                </c:pt>
                <c:pt idx="25">
                  <c:v>0.99507600069046021</c:v>
                </c:pt>
                <c:pt idx="26">
                  <c:v>0.68835699558258057</c:v>
                </c:pt>
                <c:pt idx="27">
                  <c:v>0.68835699558258057</c:v>
                </c:pt>
                <c:pt idx="28">
                  <c:v>0.67499369382858276</c:v>
                </c:pt>
                <c:pt idx="29">
                  <c:v>0.67499369382858276</c:v>
                </c:pt>
                <c:pt idx="30">
                  <c:v>0.69811451435089111</c:v>
                </c:pt>
                <c:pt idx="31">
                  <c:v>0.69811451435089111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52-4B7C-AB24-018730BE02BA}"/>
            </c:ext>
          </c:extLst>
        </c:ser>
        <c:ser>
          <c:idx val="2"/>
          <c:order val="2"/>
          <c:tx>
            <c:strRef>
              <c:f>Intraday!$K$37</c:f>
              <c:strCache>
                <c:ptCount val="1"/>
                <c:pt idx="0">
                  <c:v>% Nivel Atención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Intraday!$B$39:$B$70</c:f>
              <c:numCache>
                <c:formatCode>[h]:mm:ss</c:formatCode>
                <c:ptCount val="32"/>
                <c:pt idx="0">
                  <c:v>0.25</c:v>
                </c:pt>
                <c:pt idx="1">
                  <c:v>0.27083333333333331</c:v>
                </c:pt>
                <c:pt idx="2">
                  <c:v>0.29166666666666669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0.35416666666666669</c:v>
                </c:pt>
                <c:pt idx="6">
                  <c:v>0.375</c:v>
                </c:pt>
                <c:pt idx="7">
                  <c:v>0.39583333333333331</c:v>
                </c:pt>
                <c:pt idx="8">
                  <c:v>0.41666666666666669</c:v>
                </c:pt>
                <c:pt idx="9">
                  <c:v>0.4375</c:v>
                </c:pt>
                <c:pt idx="10">
                  <c:v>0.45833333333333331</c:v>
                </c:pt>
                <c:pt idx="11">
                  <c:v>0.47916666666666669</c:v>
                </c:pt>
                <c:pt idx="12">
                  <c:v>0.5</c:v>
                </c:pt>
                <c:pt idx="13">
                  <c:v>0.52083333333333337</c:v>
                </c:pt>
                <c:pt idx="14">
                  <c:v>0.54166666666666663</c:v>
                </c:pt>
                <c:pt idx="15">
                  <c:v>0.5625</c:v>
                </c:pt>
                <c:pt idx="16">
                  <c:v>0.58333333333333337</c:v>
                </c:pt>
                <c:pt idx="17">
                  <c:v>0.60416666666666663</c:v>
                </c:pt>
                <c:pt idx="18">
                  <c:v>0.625</c:v>
                </c:pt>
                <c:pt idx="19">
                  <c:v>0.64583333333333337</c:v>
                </c:pt>
                <c:pt idx="20">
                  <c:v>0.66666666666666663</c:v>
                </c:pt>
                <c:pt idx="21">
                  <c:v>0.6875</c:v>
                </c:pt>
                <c:pt idx="22">
                  <c:v>0.70833333333333337</c:v>
                </c:pt>
                <c:pt idx="23">
                  <c:v>0.72916666666666663</c:v>
                </c:pt>
                <c:pt idx="24">
                  <c:v>0.75</c:v>
                </c:pt>
                <c:pt idx="25">
                  <c:v>0.77083333333333337</c:v>
                </c:pt>
                <c:pt idx="26">
                  <c:v>0.79166666666666663</c:v>
                </c:pt>
                <c:pt idx="27">
                  <c:v>0.8125</c:v>
                </c:pt>
                <c:pt idx="28">
                  <c:v>0.83333333333333337</c:v>
                </c:pt>
                <c:pt idx="29">
                  <c:v>0.85416666666666663</c:v>
                </c:pt>
                <c:pt idx="30">
                  <c:v>0.875</c:v>
                </c:pt>
                <c:pt idx="31">
                  <c:v>0.89583333333333337</c:v>
                </c:pt>
              </c:numCache>
            </c:numRef>
          </c:cat>
          <c:val>
            <c:numRef>
              <c:f>Intraday!$K$39:$K$70</c:f>
              <c:numCache>
                <c:formatCode>0.00%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52-4B7C-AB24-018730BE0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708384"/>
        <c:axId val="228710464"/>
      </c:lineChart>
      <c:catAx>
        <c:axId val="1438724464"/>
        <c:scaling>
          <c:orientation val="minMax"/>
        </c:scaling>
        <c:delete val="0"/>
        <c:axPos val="b"/>
        <c:numFmt formatCode="[h]:mm:ss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8724880"/>
        <c:crosses val="autoZero"/>
        <c:auto val="1"/>
        <c:lblAlgn val="ctr"/>
        <c:lblOffset val="100"/>
        <c:noMultiLvlLbl val="0"/>
      </c:catAx>
      <c:valAx>
        <c:axId val="143872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8724464"/>
        <c:crosses val="autoZero"/>
        <c:crossBetween val="midCat"/>
      </c:valAx>
      <c:valAx>
        <c:axId val="228710464"/>
        <c:scaling>
          <c:orientation val="minMax"/>
        </c:scaling>
        <c:delete val="0"/>
        <c:axPos val="r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8708384"/>
        <c:crosses val="max"/>
        <c:crossBetween val="between"/>
      </c:valAx>
      <c:catAx>
        <c:axId val="228708384"/>
        <c:scaling>
          <c:orientation val="minMax"/>
        </c:scaling>
        <c:delete val="1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h]:mm:ss" sourceLinked="1"/>
        <c:majorTickMark val="none"/>
        <c:minorTickMark val="none"/>
        <c:tickLblPos val="nextTo"/>
        <c:crossAx val="228710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glow rad="101600">
        <a:schemeClr val="accent3">
          <a:satMod val="175000"/>
          <a:alpha val="40000"/>
        </a:schemeClr>
      </a:glow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sz="1100" b="1" i="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Intraday!$F$37</c:f>
              <c:strCache>
                <c:ptCount val="1"/>
                <c:pt idx="0">
                  <c:v>Ases. Req con Reductores</c:v>
                </c:pt>
              </c:strCache>
            </c:strRef>
          </c:tx>
          <c:spPr>
            <a:solidFill>
              <a:srgbClr val="0EF6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Intraday!$B$39:$B$70</c:f>
              <c:numCache>
                <c:formatCode>[h]:mm:ss</c:formatCode>
                <c:ptCount val="32"/>
                <c:pt idx="0">
                  <c:v>0.25</c:v>
                </c:pt>
                <c:pt idx="1">
                  <c:v>0.27083333333333331</c:v>
                </c:pt>
                <c:pt idx="2">
                  <c:v>0.29166666666666669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0.35416666666666669</c:v>
                </c:pt>
                <c:pt idx="6">
                  <c:v>0.375</c:v>
                </c:pt>
                <c:pt idx="7">
                  <c:v>0.39583333333333331</c:v>
                </c:pt>
                <c:pt idx="8">
                  <c:v>0.41666666666666669</c:v>
                </c:pt>
                <c:pt idx="9">
                  <c:v>0.4375</c:v>
                </c:pt>
                <c:pt idx="10">
                  <c:v>0.45833333333333331</c:v>
                </c:pt>
                <c:pt idx="11">
                  <c:v>0.47916666666666669</c:v>
                </c:pt>
                <c:pt idx="12">
                  <c:v>0.5</c:v>
                </c:pt>
                <c:pt idx="13">
                  <c:v>0.52083333333333337</c:v>
                </c:pt>
                <c:pt idx="14">
                  <c:v>0.54166666666666663</c:v>
                </c:pt>
                <c:pt idx="15">
                  <c:v>0.5625</c:v>
                </c:pt>
                <c:pt idx="16">
                  <c:v>0.58333333333333337</c:v>
                </c:pt>
                <c:pt idx="17">
                  <c:v>0.60416666666666663</c:v>
                </c:pt>
                <c:pt idx="18">
                  <c:v>0.625</c:v>
                </c:pt>
                <c:pt idx="19">
                  <c:v>0.64583333333333337</c:v>
                </c:pt>
                <c:pt idx="20">
                  <c:v>0.66666666666666663</c:v>
                </c:pt>
                <c:pt idx="21">
                  <c:v>0.6875</c:v>
                </c:pt>
                <c:pt idx="22">
                  <c:v>0.70833333333333337</c:v>
                </c:pt>
                <c:pt idx="23">
                  <c:v>0.72916666666666663</c:v>
                </c:pt>
                <c:pt idx="24">
                  <c:v>0.75</c:v>
                </c:pt>
                <c:pt idx="25">
                  <c:v>0.77083333333333337</c:v>
                </c:pt>
                <c:pt idx="26">
                  <c:v>0.79166666666666663</c:v>
                </c:pt>
                <c:pt idx="27">
                  <c:v>0.8125</c:v>
                </c:pt>
                <c:pt idx="28">
                  <c:v>0.83333333333333337</c:v>
                </c:pt>
                <c:pt idx="29">
                  <c:v>0.85416666666666663</c:v>
                </c:pt>
                <c:pt idx="30">
                  <c:v>0.875</c:v>
                </c:pt>
                <c:pt idx="31">
                  <c:v>0.89583333333333337</c:v>
                </c:pt>
              </c:numCache>
            </c:numRef>
          </c:cat>
          <c:val>
            <c:numRef>
              <c:f>Intraday!$F$39:$F$70</c:f>
              <c:numCache>
                <c:formatCode>#,##0</c:formatCode>
                <c:ptCount val="32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15</c:v>
                </c:pt>
                <c:pt idx="9">
                  <c:v>13</c:v>
                </c:pt>
                <c:pt idx="10">
                  <c:v>12</c:v>
                </c:pt>
                <c:pt idx="11">
                  <c:v>13</c:v>
                </c:pt>
                <c:pt idx="12">
                  <c:v>9</c:v>
                </c:pt>
                <c:pt idx="13">
                  <c:v>6</c:v>
                </c:pt>
                <c:pt idx="14">
                  <c:v>9</c:v>
                </c:pt>
                <c:pt idx="15">
                  <c:v>8</c:v>
                </c:pt>
                <c:pt idx="16">
                  <c:v>14</c:v>
                </c:pt>
                <c:pt idx="17">
                  <c:v>10</c:v>
                </c:pt>
                <c:pt idx="18">
                  <c:v>14</c:v>
                </c:pt>
                <c:pt idx="19">
                  <c:v>10</c:v>
                </c:pt>
                <c:pt idx="20">
                  <c:v>15</c:v>
                </c:pt>
                <c:pt idx="21">
                  <c:v>14</c:v>
                </c:pt>
                <c:pt idx="22">
                  <c:v>10</c:v>
                </c:pt>
                <c:pt idx="23">
                  <c:v>12</c:v>
                </c:pt>
                <c:pt idx="24">
                  <c:v>6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4-4F61-9228-DCF1AA5F4CC1}"/>
            </c:ext>
          </c:extLst>
        </c:ser>
        <c:ser>
          <c:idx val="1"/>
          <c:order val="1"/>
          <c:tx>
            <c:strRef>
              <c:f>Intraday!$H$37</c:f>
              <c:strCache>
                <c:ptCount val="1"/>
                <c:pt idx="0">
                  <c:v>Asesores Programados</c:v>
                </c:pt>
              </c:strCache>
            </c:strRef>
          </c:tx>
          <c:spPr>
            <a:solidFill>
              <a:srgbClr val="1B2223">
                <a:alpha val="43000"/>
              </a:srgb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Intraday!$B$39:$B$70</c:f>
              <c:numCache>
                <c:formatCode>[h]:mm:ss</c:formatCode>
                <c:ptCount val="32"/>
                <c:pt idx="0">
                  <c:v>0.25</c:v>
                </c:pt>
                <c:pt idx="1">
                  <c:v>0.27083333333333331</c:v>
                </c:pt>
                <c:pt idx="2">
                  <c:v>0.29166666666666669</c:v>
                </c:pt>
                <c:pt idx="3">
                  <c:v>0.3125</c:v>
                </c:pt>
                <c:pt idx="4">
                  <c:v>0.33333333333333331</c:v>
                </c:pt>
                <c:pt idx="5">
                  <c:v>0.35416666666666669</c:v>
                </c:pt>
                <c:pt idx="6">
                  <c:v>0.375</c:v>
                </c:pt>
                <c:pt idx="7">
                  <c:v>0.39583333333333331</c:v>
                </c:pt>
                <c:pt idx="8">
                  <c:v>0.41666666666666669</c:v>
                </c:pt>
                <c:pt idx="9">
                  <c:v>0.4375</c:v>
                </c:pt>
                <c:pt idx="10">
                  <c:v>0.45833333333333331</c:v>
                </c:pt>
                <c:pt idx="11">
                  <c:v>0.47916666666666669</c:v>
                </c:pt>
                <c:pt idx="12">
                  <c:v>0.5</c:v>
                </c:pt>
                <c:pt idx="13">
                  <c:v>0.52083333333333337</c:v>
                </c:pt>
                <c:pt idx="14">
                  <c:v>0.54166666666666663</c:v>
                </c:pt>
                <c:pt idx="15">
                  <c:v>0.5625</c:v>
                </c:pt>
                <c:pt idx="16">
                  <c:v>0.58333333333333337</c:v>
                </c:pt>
                <c:pt idx="17">
                  <c:v>0.60416666666666663</c:v>
                </c:pt>
                <c:pt idx="18">
                  <c:v>0.625</c:v>
                </c:pt>
                <c:pt idx="19">
                  <c:v>0.64583333333333337</c:v>
                </c:pt>
                <c:pt idx="20">
                  <c:v>0.66666666666666663</c:v>
                </c:pt>
                <c:pt idx="21">
                  <c:v>0.6875</c:v>
                </c:pt>
                <c:pt idx="22">
                  <c:v>0.70833333333333337</c:v>
                </c:pt>
                <c:pt idx="23">
                  <c:v>0.72916666666666663</c:v>
                </c:pt>
                <c:pt idx="24">
                  <c:v>0.75</c:v>
                </c:pt>
                <c:pt idx="25">
                  <c:v>0.77083333333333337</c:v>
                </c:pt>
                <c:pt idx="26">
                  <c:v>0.79166666666666663</c:v>
                </c:pt>
                <c:pt idx="27">
                  <c:v>0.8125</c:v>
                </c:pt>
                <c:pt idx="28">
                  <c:v>0.83333333333333337</c:v>
                </c:pt>
                <c:pt idx="29">
                  <c:v>0.85416666666666663</c:v>
                </c:pt>
                <c:pt idx="30">
                  <c:v>0.875</c:v>
                </c:pt>
                <c:pt idx="31">
                  <c:v>0.89583333333333337</c:v>
                </c:pt>
              </c:numCache>
            </c:numRef>
          </c:cat>
          <c:val>
            <c:numRef>
              <c:f>Intraday!$H$39:$H$70</c:f>
              <c:numCache>
                <c:formatCode>#,##0</c:formatCode>
                <c:ptCount val="3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13</c:v>
                </c:pt>
                <c:pt idx="5">
                  <c:v>13.5</c:v>
                </c:pt>
                <c:pt idx="6">
                  <c:v>15.5</c:v>
                </c:pt>
                <c:pt idx="7">
                  <c:v>14.5</c:v>
                </c:pt>
                <c:pt idx="8">
                  <c:v>18.5</c:v>
                </c:pt>
                <c:pt idx="9">
                  <c:v>16.5</c:v>
                </c:pt>
                <c:pt idx="10">
                  <c:v>18</c:v>
                </c:pt>
                <c:pt idx="11">
                  <c:v>18</c:v>
                </c:pt>
                <c:pt idx="12">
                  <c:v>11</c:v>
                </c:pt>
                <c:pt idx="13">
                  <c:v>7.5</c:v>
                </c:pt>
                <c:pt idx="14">
                  <c:v>13</c:v>
                </c:pt>
                <c:pt idx="15">
                  <c:v>15</c:v>
                </c:pt>
                <c:pt idx="16">
                  <c:v>14</c:v>
                </c:pt>
                <c:pt idx="17">
                  <c:v>14.5</c:v>
                </c:pt>
                <c:pt idx="18">
                  <c:v>17.5</c:v>
                </c:pt>
                <c:pt idx="19">
                  <c:v>19</c:v>
                </c:pt>
                <c:pt idx="20">
                  <c:v>17</c:v>
                </c:pt>
                <c:pt idx="21">
                  <c:v>17</c:v>
                </c:pt>
                <c:pt idx="22">
                  <c:v>7.5</c:v>
                </c:pt>
                <c:pt idx="23">
                  <c:v>7.5</c:v>
                </c:pt>
                <c:pt idx="24">
                  <c:v>5</c:v>
                </c:pt>
                <c:pt idx="25">
                  <c:v>6</c:v>
                </c:pt>
                <c:pt idx="26">
                  <c:v>3</c:v>
                </c:pt>
                <c:pt idx="27">
                  <c:v>3</c:v>
                </c:pt>
                <c:pt idx="28">
                  <c:v>1.5</c:v>
                </c:pt>
                <c:pt idx="29">
                  <c:v>1.5</c:v>
                </c:pt>
                <c:pt idx="30">
                  <c:v>2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04-4F61-9228-DCF1AA5F4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724464"/>
        <c:axId val="1438724880"/>
      </c:areaChart>
      <c:catAx>
        <c:axId val="143872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[h]:mm:ss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8724880"/>
        <c:crosses val="autoZero"/>
        <c:auto val="1"/>
        <c:lblAlgn val="ctr"/>
        <c:lblOffset val="100"/>
        <c:noMultiLvlLbl val="0"/>
      </c:catAx>
      <c:valAx>
        <c:axId val="143872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872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glow rad="101600">
        <a:schemeClr val="accent3">
          <a:satMod val="175000"/>
          <a:alpha val="40000"/>
        </a:schemeClr>
      </a:glow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 sz="1100" b="1" i="0"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trlProps/ctrlProp1.xml><?xml version="1.0" encoding="utf-8"?>
<formControlPr xmlns="http://schemas.microsoft.com/office/spreadsheetml/2009/9/main" objectType="Drop" dropStyle="combo" dx="22" fmlaLink="$AI$3" fmlaRange="$AH$3:$AH$4" sel="2" val="0"/>
</file>

<file path=xl/ctrlProps/ctrlProp2.xml><?xml version="1.0" encoding="utf-8"?>
<formControlPr xmlns="http://schemas.microsoft.com/office/spreadsheetml/2009/9/main" objectType="Drop" dropStyle="combo" dx="22" fmlaLink="$AI$3" fmlaRange="$AH$3:$AH$4" sel="2" val="0"/>
</file>

<file path=xl/ctrlProps/ctrlProp3.xml><?xml version="1.0" encoding="utf-8"?>
<formControlPr xmlns="http://schemas.microsoft.com/office/spreadsheetml/2009/9/main" objectType="Drop" dropStyle="combo" dx="22" fmlaLink="$AN$3" fmlaRange="$AM$3:$AM$9" sel="1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3</xdr:col>
      <xdr:colOff>76200</xdr:colOff>
      <xdr:row>3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A4AF58-2886-4AD9-B744-1AA1E501F6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8" b="38988"/>
        <a:stretch/>
      </xdr:blipFill>
      <xdr:spPr>
        <a:xfrm>
          <a:off x="619125" y="0"/>
          <a:ext cx="3200400" cy="704851"/>
        </a:xfrm>
        <a:prstGeom prst="rect">
          <a:avLst/>
        </a:prstGeom>
      </xdr:spPr>
    </xdr:pic>
    <xdr:clientData/>
  </xdr:twoCellAnchor>
  <xdr:twoCellAnchor>
    <xdr:from>
      <xdr:col>0</xdr:col>
      <xdr:colOff>581024</xdr:colOff>
      <xdr:row>4</xdr:row>
      <xdr:rowOff>0</xdr:rowOff>
    </xdr:from>
    <xdr:to>
      <xdr:col>9</xdr:col>
      <xdr:colOff>1381124</xdr:colOff>
      <xdr:row>18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AFEBE0-8A23-4FCF-B4E6-CBE80CFFA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0</xdr:row>
          <xdr:rowOff>123825</xdr:rowOff>
        </xdr:from>
        <xdr:to>
          <xdr:col>5</xdr:col>
          <xdr:colOff>857250</xdr:colOff>
          <xdr:row>2</xdr:row>
          <xdr:rowOff>47625</xdr:rowOff>
        </xdr:to>
        <xdr:sp macro="" textlink="">
          <xdr:nvSpPr>
            <xdr:cNvPr id="1032" name="Drop Dow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1114425</xdr:colOff>
      <xdr:row>0</xdr:row>
      <xdr:rowOff>171450</xdr:rowOff>
    </xdr:from>
    <xdr:to>
      <xdr:col>4</xdr:col>
      <xdr:colOff>314325</xdr:colOff>
      <xdr:row>2</xdr:row>
      <xdr:rowOff>19050</xdr:rowOff>
    </xdr:to>
    <xdr:sp macro="" textlink="">
      <xdr:nvSpPr>
        <xdr:cNvPr id="9" name="Arrow: Notched Right 8">
          <a:extLst>
            <a:ext uri="{FF2B5EF4-FFF2-40B4-BE49-F238E27FC236}">
              <a16:creationId xmlns:a16="http://schemas.microsoft.com/office/drawing/2014/main" id="{269A6C16-D6F5-4E9D-9C1D-0D0B9898D9AA}"/>
            </a:ext>
          </a:extLst>
        </xdr:cNvPr>
        <xdr:cNvSpPr/>
      </xdr:nvSpPr>
      <xdr:spPr>
        <a:xfrm>
          <a:off x="4857750" y="171450"/>
          <a:ext cx="581025" cy="228600"/>
        </a:xfrm>
        <a:prstGeom prst="notchedRightArrow">
          <a:avLst/>
        </a:prstGeom>
        <a:solidFill>
          <a:srgbClr val="3A4F5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3</xdr:col>
      <xdr:colOff>76200</xdr:colOff>
      <xdr:row>3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26EB7-E25D-4983-BC67-E2D0566C59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8" b="38988"/>
        <a:stretch/>
      </xdr:blipFill>
      <xdr:spPr>
        <a:xfrm>
          <a:off x="619125" y="0"/>
          <a:ext cx="3200400" cy="704851"/>
        </a:xfrm>
        <a:prstGeom prst="rect">
          <a:avLst/>
        </a:prstGeom>
      </xdr:spPr>
    </xdr:pic>
    <xdr:clientData/>
  </xdr:twoCellAnchor>
  <xdr:twoCellAnchor>
    <xdr:from>
      <xdr:col>0</xdr:col>
      <xdr:colOff>581024</xdr:colOff>
      <xdr:row>4</xdr:row>
      <xdr:rowOff>0</xdr:rowOff>
    </xdr:from>
    <xdr:to>
      <xdr:col>11</xdr:col>
      <xdr:colOff>1733550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E7BF66-BDB6-4659-8BB8-811E36C3BD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0</xdr:row>
          <xdr:rowOff>123825</xdr:rowOff>
        </xdr:from>
        <xdr:to>
          <xdr:col>5</xdr:col>
          <xdr:colOff>857250</xdr:colOff>
          <xdr:row>2</xdr:row>
          <xdr:rowOff>47625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</xdr:col>
      <xdr:colOff>1114425</xdr:colOff>
      <xdr:row>0</xdr:row>
      <xdr:rowOff>171450</xdr:rowOff>
    </xdr:from>
    <xdr:to>
      <xdr:col>4</xdr:col>
      <xdr:colOff>314325</xdr:colOff>
      <xdr:row>2</xdr:row>
      <xdr:rowOff>19050</xdr:rowOff>
    </xdr:to>
    <xdr:sp macro="" textlink="">
      <xdr:nvSpPr>
        <xdr:cNvPr id="5" name="Arrow: Notched Right 4">
          <a:extLst>
            <a:ext uri="{FF2B5EF4-FFF2-40B4-BE49-F238E27FC236}">
              <a16:creationId xmlns:a16="http://schemas.microsoft.com/office/drawing/2014/main" id="{A2ECA89F-FF89-4AED-86C6-ECD65D8A01B1}"/>
            </a:ext>
          </a:extLst>
        </xdr:cNvPr>
        <xdr:cNvSpPr/>
      </xdr:nvSpPr>
      <xdr:spPr>
        <a:xfrm>
          <a:off x="4857750" y="171450"/>
          <a:ext cx="581025" cy="228600"/>
        </a:xfrm>
        <a:prstGeom prst="notchedRightArrow">
          <a:avLst/>
        </a:prstGeom>
        <a:solidFill>
          <a:srgbClr val="3A4F5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342900</xdr:colOff>
          <xdr:row>0</xdr:row>
          <xdr:rowOff>123825</xdr:rowOff>
        </xdr:from>
        <xdr:to>
          <xdr:col>8</xdr:col>
          <xdr:colOff>742950</xdr:colOff>
          <xdr:row>2</xdr:row>
          <xdr:rowOff>47625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1019175</xdr:colOff>
      <xdr:row>0</xdr:row>
      <xdr:rowOff>171450</xdr:rowOff>
    </xdr:from>
    <xdr:to>
      <xdr:col>7</xdr:col>
      <xdr:colOff>219075</xdr:colOff>
      <xdr:row>2</xdr:row>
      <xdr:rowOff>19050</xdr:rowOff>
    </xdr:to>
    <xdr:sp macro="" textlink="">
      <xdr:nvSpPr>
        <xdr:cNvPr id="7" name="Arrow: Notched Right 6">
          <a:extLst>
            <a:ext uri="{FF2B5EF4-FFF2-40B4-BE49-F238E27FC236}">
              <a16:creationId xmlns:a16="http://schemas.microsoft.com/office/drawing/2014/main" id="{33D7FC7E-EAA9-4D8C-9432-5EA34D5021CB}"/>
            </a:ext>
          </a:extLst>
        </xdr:cNvPr>
        <xdr:cNvSpPr/>
      </xdr:nvSpPr>
      <xdr:spPr>
        <a:xfrm>
          <a:off x="8905875" y="171450"/>
          <a:ext cx="581025" cy="228600"/>
        </a:xfrm>
        <a:prstGeom prst="notchedRightArrow">
          <a:avLst/>
        </a:prstGeom>
        <a:solidFill>
          <a:srgbClr val="3A4F5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0</xdr:colOff>
      <xdr:row>20</xdr:row>
      <xdr:rowOff>0</xdr:rowOff>
    </xdr:from>
    <xdr:to>
      <xdr:col>11</xdr:col>
      <xdr:colOff>1733551</xdr:colOff>
      <xdr:row>35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84E3E68-F187-4CDA-A19E-5827D4525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0</xdr:rowOff>
    </xdr:from>
    <xdr:to>
      <xdr:col>2</xdr:col>
      <xdr:colOff>676275</xdr:colOff>
      <xdr:row>3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02ED16-7559-42AB-BBCD-C1B929D1B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8" b="38988"/>
        <a:stretch/>
      </xdr:blipFill>
      <xdr:spPr>
        <a:xfrm>
          <a:off x="619125" y="0"/>
          <a:ext cx="3200400" cy="704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9D26A-E71F-4BF0-BB74-D5D8F91D2CB1}">
  <sheetPr codeName="Sheet1"/>
  <dimension ref="A1:AJ46"/>
  <sheetViews>
    <sheetView showGridLines="0" showRowColHeaders="0" tabSelected="1" workbookViewId="0">
      <selection activeCell="A24" sqref="A24"/>
    </sheetView>
  </sheetViews>
  <sheetFormatPr defaultColWidth="0" defaultRowHeight="15" zeroHeight="1" x14ac:dyDescent="0.25"/>
  <cols>
    <col min="1" max="1" width="8.7109375" customWidth="1"/>
    <col min="2" max="2" width="26.7109375" customWidth="1"/>
    <col min="3" max="10" width="20.7109375" customWidth="1"/>
    <col min="11" max="11" width="8.7109375" customWidth="1"/>
    <col min="12" max="15" width="26.140625" hidden="1"/>
    <col min="16" max="16" width="31.140625" hidden="1"/>
    <col min="17" max="17" width="22.5703125" hidden="1"/>
    <col min="18" max="16384" width="9.140625" hidden="1"/>
  </cols>
  <sheetData>
    <row r="1" spans="4:36" x14ac:dyDescent="0.25"/>
    <row r="2" spans="4:36" x14ac:dyDescent="0.25">
      <c r="D2" s="2" t="s">
        <v>0</v>
      </c>
    </row>
    <row r="3" spans="4:36" x14ac:dyDescent="0.25">
      <c r="AH3" t="s">
        <v>1</v>
      </c>
      <c r="AI3">
        <v>2</v>
      </c>
      <c r="AJ3" t="str">
        <f>IF(AI3=1,AH3,IF(AI3=2,AH4,""))</f>
        <v>Voz</v>
      </c>
    </row>
    <row r="4" spans="4:36" x14ac:dyDescent="0.25">
      <c r="AH4" t="s">
        <v>2</v>
      </c>
    </row>
    <row r="5" spans="4:36" x14ac:dyDescent="0.25"/>
    <row r="6" spans="4:36" x14ac:dyDescent="0.25"/>
    <row r="7" spans="4:36" x14ac:dyDescent="0.25"/>
    <row r="8" spans="4:36" x14ac:dyDescent="0.25"/>
    <row r="9" spans="4:36" x14ac:dyDescent="0.25"/>
    <row r="10" spans="4:36" x14ac:dyDescent="0.25"/>
    <row r="11" spans="4:36" x14ac:dyDescent="0.25"/>
    <row r="12" spans="4:36" x14ac:dyDescent="0.25"/>
    <row r="13" spans="4:36" x14ac:dyDescent="0.25"/>
    <row r="14" spans="4:36" x14ac:dyDescent="0.25"/>
    <row r="15" spans="4:36" x14ac:dyDescent="0.25"/>
    <row r="16" spans="4:36" x14ac:dyDescent="0.25"/>
    <row r="17" spans="2:10" x14ac:dyDescent="0.25"/>
    <row r="18" spans="2:10" x14ac:dyDescent="0.25"/>
    <row r="19" spans="2:10" x14ac:dyDescent="0.25"/>
    <row r="20" spans="2:10" x14ac:dyDescent="0.25"/>
    <row r="21" spans="2:10" x14ac:dyDescent="0.25">
      <c r="B21" s="3"/>
      <c r="C21" s="5" t="s">
        <v>3</v>
      </c>
      <c r="D21" s="5" t="s">
        <v>4</v>
      </c>
      <c r="E21" s="5" t="s">
        <v>5</v>
      </c>
      <c r="F21" s="5" t="s">
        <v>6</v>
      </c>
      <c r="G21" s="5" t="s">
        <v>7</v>
      </c>
      <c r="H21" s="5" t="s">
        <v>8</v>
      </c>
      <c r="I21" s="5" t="s">
        <v>9</v>
      </c>
      <c r="J21" s="5" t="s">
        <v>10</v>
      </c>
    </row>
    <row r="22" spans="2:10" x14ac:dyDescent="0.25">
      <c r="B22" s="4" t="s">
        <v>11</v>
      </c>
      <c r="C22" s="17">
        <f>SUMIFS(BBDD!$E:$E,BBDD!$C:$C,Summary!C$21,BBDD!$B:$B,Summary!$AJ$3)</f>
        <v>376</v>
      </c>
      <c r="D22" s="17">
        <f>SUMIFS(BBDD!$E:$E,BBDD!$C:$C,Summary!D$21,BBDD!$B:$B,Summary!$AJ$3)</f>
        <v>391</v>
      </c>
      <c r="E22" s="17">
        <f>SUMIFS(BBDD!$E:$E,BBDD!$C:$C,Summary!E$21,BBDD!$B:$B,Summary!$AJ$3)</f>
        <v>359</v>
      </c>
      <c r="F22" s="17">
        <f>SUMIFS(BBDD!$E:$E,BBDD!$C:$C,Summary!F$21,BBDD!$B:$B,Summary!$AJ$3)</f>
        <v>349</v>
      </c>
      <c r="G22" s="17">
        <f>SUMIFS(BBDD!$E:$E,BBDD!$C:$C,Summary!G$21,BBDD!$B:$B,Summary!$AJ$3)</f>
        <v>274</v>
      </c>
      <c r="H22" s="17">
        <f>SUMIFS(BBDD!$E:$E,BBDD!$C:$C,Summary!H$21,BBDD!$B:$B,Summary!$AJ$3)</f>
        <v>164</v>
      </c>
      <c r="I22" s="17">
        <f>SUMIFS(BBDD!$E:$E,BBDD!$C:$C,Summary!I$21,BBDD!$B:$B,Summary!$AJ$3)</f>
        <v>16</v>
      </c>
      <c r="J22" s="17">
        <f>SUM(C22:I22)</f>
        <v>1929</v>
      </c>
    </row>
    <row r="23" spans="2:10" x14ac:dyDescent="0.25">
      <c r="B23" s="6" t="s">
        <v>12</v>
      </c>
      <c r="C23" s="18">
        <f>SUMIFS(BBDD!$F:$F,BBDD!$C:$C,Summary!C$21,BBDD!$B:$B,Summary!$AJ$3)/COUNTIFS(BBDD!$F:$F,"&gt;"&amp;0,BBDD!$C:$C,Summary!C$21,BBDD!$B:$B,Summary!$AJ$3)</f>
        <v>660</v>
      </c>
      <c r="D23" s="18">
        <f>SUMIFS(BBDD!$F:$F,BBDD!$C:$C,Summary!D$21,BBDD!$B:$B,Summary!$AJ$3)/COUNTIFS(BBDD!$F:$F,"&gt;"&amp;0,BBDD!$C:$C,Summary!D$21,BBDD!$B:$B,Summary!$AJ$3)</f>
        <v>660</v>
      </c>
      <c r="E23" s="18">
        <f>SUMIFS(BBDD!$F:$F,BBDD!$C:$C,Summary!E$21,BBDD!$B:$B,Summary!$AJ$3)/COUNTIFS(BBDD!$F:$F,"&gt;"&amp;0,BBDD!$C:$C,Summary!E$21,BBDD!$B:$B,Summary!$AJ$3)</f>
        <v>660</v>
      </c>
      <c r="F23" s="18">
        <f>SUMIFS(BBDD!$F:$F,BBDD!$C:$C,Summary!F$21,BBDD!$B:$B,Summary!$AJ$3)/COUNTIFS(BBDD!$F:$F,"&gt;"&amp;0,BBDD!$C:$C,Summary!F$21,BBDD!$B:$B,Summary!$AJ$3)</f>
        <v>660</v>
      </c>
      <c r="G23" s="18">
        <f>SUMIFS(BBDD!$F:$F,BBDD!$C:$C,Summary!G$21,BBDD!$B:$B,Summary!$AJ$3)/COUNTIFS(BBDD!$F:$F,"&gt;"&amp;0,BBDD!$C:$C,Summary!G$21,BBDD!$B:$B,Summary!$AJ$3)</f>
        <v>740</v>
      </c>
      <c r="H23" s="18">
        <f>SUMIFS(BBDD!$F:$F,BBDD!$C:$C,Summary!H$21,BBDD!$B:$B,Summary!$AJ$3)/COUNTIFS(BBDD!$F:$F,"&gt;"&amp;0,BBDD!$C:$C,Summary!H$21,BBDD!$B:$B,Summary!$AJ$3)</f>
        <v>740</v>
      </c>
      <c r="I23" s="18">
        <f>SUMIFS(BBDD!$F:$F,BBDD!$C:$C,Summary!I$21,BBDD!$B:$B,Summary!$AJ$3)/COUNTIFS(BBDD!$F:$F,"&gt;"&amp;0,BBDD!$C:$C,Summary!I$21,BBDD!$B:$B,Summary!$AJ$3)</f>
        <v>740</v>
      </c>
      <c r="J23" s="18">
        <f>SUMPRODUCT(C23:I23,C22:I22)/J22</f>
        <v>678.82840850181447</v>
      </c>
    </row>
    <row r="24" spans="2:10" x14ac:dyDescent="0.25">
      <c r="B24" s="4" t="s">
        <v>13</v>
      </c>
      <c r="C24" s="15">
        <f>SUMIFS(BBDD!$J:$J,BBDD!$C:$C,Summary!C$21,BBDD!$B:$B,Summary!$AJ$3)/15</f>
        <v>15.8</v>
      </c>
      <c r="D24" s="15">
        <f>SUMIFS(BBDD!$J:$J,BBDD!$C:$C,Summary!D$21,BBDD!$B:$B,Summary!$AJ$3)/15</f>
        <v>15.333333333333334</v>
      </c>
      <c r="E24" s="15">
        <f>SUMIFS(BBDD!$J:$J,BBDD!$C:$C,Summary!E$21,BBDD!$B:$B,Summary!$AJ$3)/15</f>
        <v>14.866666666666667</v>
      </c>
      <c r="F24" s="15">
        <f>SUMIFS(BBDD!$J:$J,BBDD!$C:$C,Summary!F$21,BBDD!$B:$B,Summary!$AJ$3)/15</f>
        <v>14.4</v>
      </c>
      <c r="G24" s="15">
        <f>SUMIFS(BBDD!$J:$J,BBDD!$C:$C,Summary!G$21,BBDD!$B:$B,Summary!$AJ$3)/15</f>
        <v>13.266666666666667</v>
      </c>
      <c r="H24" s="15">
        <f>SUMIFS(BBDD!$J:$J,BBDD!$C:$C,Summary!H$21,BBDD!$B:$B,Summary!$AJ$3)/15</f>
        <v>9.2666666666666675</v>
      </c>
      <c r="I24" s="15">
        <f>SUMIFS(BBDD!$J:$J,BBDD!$C:$C,Summary!I$21,BBDD!$B:$B,Summary!$AJ$3)/15</f>
        <v>3.2</v>
      </c>
      <c r="J24" s="15">
        <f>SUM(C24:I24)/7</f>
        <v>12.304761904761905</v>
      </c>
    </row>
    <row r="25" spans="2:10" x14ac:dyDescent="0.25">
      <c r="B25" s="6" t="s">
        <v>15</v>
      </c>
      <c r="C25" s="14">
        <v>0.1</v>
      </c>
      <c r="D25" s="14">
        <v>0.1</v>
      </c>
      <c r="E25" s="14">
        <v>0.1</v>
      </c>
      <c r="F25" s="14">
        <v>0.1</v>
      </c>
      <c r="G25" s="14">
        <v>0.1</v>
      </c>
      <c r="H25" s="14">
        <v>0.1</v>
      </c>
      <c r="I25" s="14">
        <v>0.1</v>
      </c>
      <c r="J25" s="14">
        <v>0.1</v>
      </c>
    </row>
    <row r="26" spans="2:10" x14ac:dyDescent="0.25">
      <c r="B26" s="4" t="s">
        <v>14</v>
      </c>
      <c r="C26" s="15">
        <f>SUMIFS(BBDD!$L:$L,BBDD!$C:$C,Summary!C$21,BBDD!$B:$B,Summary!$AJ$3)/15</f>
        <v>18.8</v>
      </c>
      <c r="D26" s="15">
        <f>SUMIFS(BBDD!$L:$L,BBDD!$C:$C,Summary!D$21,BBDD!$B:$B,Summary!$AJ$3)/15</f>
        <v>17.466666666666665</v>
      </c>
      <c r="E26" s="15">
        <f>SUMIFS(BBDD!$L:$L,BBDD!$C:$C,Summary!E$21,BBDD!$B:$B,Summary!$AJ$3)/15</f>
        <v>14.866666666666667</v>
      </c>
      <c r="F26" s="15">
        <f>SUMIFS(BBDD!$L:$L,BBDD!$C:$C,Summary!F$21,BBDD!$B:$B,Summary!$AJ$3)/15</f>
        <v>16.866666666666667</v>
      </c>
      <c r="G26" s="15">
        <f>SUMIFS(BBDD!$L:$L,BBDD!$C:$C,Summary!G$21,BBDD!$B:$B,Summary!$AJ$3)/15</f>
        <v>15.8</v>
      </c>
      <c r="H26" s="15">
        <f>SUMIFS(BBDD!$L:$L,BBDD!$C:$C,Summary!H$21,BBDD!$B:$B,Summary!$AJ$3)/15</f>
        <v>11.6</v>
      </c>
      <c r="I26" s="15">
        <f>SUMIFS(BBDD!$L:$L,BBDD!$C:$C,Summary!I$21,BBDD!$B:$B,Summary!$AJ$3)/15</f>
        <v>5.333333333333333</v>
      </c>
      <c r="J26" s="15">
        <f>SUM(C26:I26)/7</f>
        <v>14.390476190476189</v>
      </c>
    </row>
    <row r="27" spans="2:10" x14ac:dyDescent="0.25">
      <c r="B27" s="6" t="s">
        <v>16</v>
      </c>
      <c r="C27" s="13">
        <f>SUMIFS(BBDD!$M:$M,BBDD!$C:$C,Summary!C$21,BBDD!$B:$B,Summary!$AJ$3)/15</f>
        <v>21.733333333333334</v>
      </c>
      <c r="D27" s="13">
        <f>SUMIFS(BBDD!$M:$M,BBDD!$C:$C,Summary!D$21,BBDD!$B:$B,Summary!$AJ$3)/15</f>
        <v>21.933333333333334</v>
      </c>
      <c r="E27" s="13">
        <f>SUMIFS(BBDD!$M:$M,BBDD!$C:$C,Summary!E$21,BBDD!$B:$B,Summary!$AJ$3)/15</f>
        <v>21.666666666666668</v>
      </c>
      <c r="F27" s="13">
        <f>SUMIFS(BBDD!$M:$M,BBDD!$C:$C,Summary!F$21,BBDD!$B:$B,Summary!$AJ$3)/15</f>
        <v>21.666666666666668</v>
      </c>
      <c r="G27" s="13">
        <f>SUMIFS(BBDD!$M:$M,BBDD!$C:$C,Summary!G$21,BBDD!$B:$B,Summary!$AJ$3)/15</f>
        <v>21.6</v>
      </c>
      <c r="H27" s="13">
        <f>SUMIFS(BBDD!$M:$M,BBDD!$C:$C,Summary!H$21,BBDD!$B:$B,Summary!$AJ$3)/15</f>
        <v>12.133333333333333</v>
      </c>
      <c r="I27" s="13">
        <f>SUMIFS(BBDD!$M:$M,BBDD!$C:$C,Summary!I$21,BBDD!$B:$B,Summary!$AJ$3)/13</f>
        <v>4.0384615384615383</v>
      </c>
      <c r="J27" s="13">
        <f>MAX(C27:I27)</f>
        <v>21.933333333333334</v>
      </c>
    </row>
    <row r="28" spans="2:10" x14ac:dyDescent="0.25">
      <c r="B28" s="4" t="s">
        <v>17</v>
      </c>
      <c r="C28" s="10">
        <f t="shared" ref="C28:I28" si="0">+C27-C26</f>
        <v>2.9333333333333336</v>
      </c>
      <c r="D28" s="10">
        <f t="shared" si="0"/>
        <v>4.4666666666666686</v>
      </c>
      <c r="E28" s="10">
        <f t="shared" si="0"/>
        <v>6.8000000000000007</v>
      </c>
      <c r="F28" s="10">
        <f t="shared" si="0"/>
        <v>4.8000000000000007</v>
      </c>
      <c r="G28" s="10">
        <f t="shared" si="0"/>
        <v>5.8000000000000007</v>
      </c>
      <c r="H28" s="10">
        <f t="shared" si="0"/>
        <v>0.53333333333333321</v>
      </c>
      <c r="I28" s="10">
        <f t="shared" si="0"/>
        <v>-1.2948717948717947</v>
      </c>
      <c r="J28" s="10">
        <f>SUM(C28:I28)/7</f>
        <v>3.4340659340659343</v>
      </c>
    </row>
    <row r="29" spans="2:10" x14ac:dyDescent="0.25">
      <c r="B29" s="6" t="s">
        <v>18</v>
      </c>
      <c r="C29" s="16">
        <f>SUMIFS(BBDD!$S:$S,BBDD!$C:$C,Summary!C$21,BBDD!$B:$B,Summary!$AJ$3)/SUMIFS(BBDD!$E:$E,BBDD!$C:$C,Summary!C$21,BBDD!$B:$B,Summary!$AJ$3)</f>
        <v>0.90389119239246596</v>
      </c>
      <c r="D29" s="16">
        <f>SUMIFS(BBDD!$S:$S,BBDD!$C:$C,Summary!D$21,BBDD!$B:$B,Summary!$AJ$3)/SUMIFS(BBDD!$E:$E,BBDD!$C:$C,Summary!D$21,BBDD!$B:$B,Summary!$AJ$3)</f>
        <v>0.88229671189242309</v>
      </c>
      <c r="E29" s="16">
        <f>SUMIFS(BBDD!$S:$S,BBDD!$C:$C,Summary!E$21,BBDD!$B:$B,Summary!$AJ$3)/SUMIFS(BBDD!$E:$E,BBDD!$C:$C,Summary!E$21,BBDD!$B:$B,Summary!$AJ$3)</f>
        <v>0.8819307636749778</v>
      </c>
      <c r="F29" s="16">
        <f>SUMIFS(BBDD!$S:$S,BBDD!$C:$C,Summary!F$21,BBDD!$B:$B,Summary!$AJ$3)/SUMIFS(BBDD!$E:$E,BBDD!$C:$C,Summary!F$21,BBDD!$B:$B,Summary!$AJ$3)</f>
        <v>0.95137518849277225</v>
      </c>
      <c r="G29" s="16">
        <f>SUMIFS(BBDD!$S:$S,BBDD!$C:$C,Summary!G$21,BBDD!$B:$B,Summary!$AJ$3)/SUMIFS(BBDD!$E:$E,BBDD!$C:$C,Summary!G$21,BBDD!$B:$B,Summary!$AJ$3)</f>
        <v>0.96157654597811459</v>
      </c>
      <c r="H29" s="16">
        <f>SUMIFS(BBDD!$S:$S,BBDD!$C:$C,Summary!H$21,BBDD!$B:$B,Summary!$AJ$3)/SUMIFS(BBDD!$E:$E,BBDD!$C:$C,Summary!H$21,BBDD!$B:$B,Summary!$AJ$3)</f>
        <v>0.91896954796663144</v>
      </c>
      <c r="I29" s="16">
        <f>SUMIFS(BBDD!$S:$S,BBDD!$C:$C,Summary!I$21,BBDD!$B:$B,Summary!$AJ$3)/SUMIFS(BBDD!$E:$E,BBDD!$C:$C,Summary!I$21,BBDD!$B:$B,Summary!$AJ$3)</f>
        <v>0.86740239337086678</v>
      </c>
      <c r="J29" s="16">
        <f>SUMPRODUCT(C29:I29,C22:I22)/J22</f>
        <v>0.91319108625778334</v>
      </c>
    </row>
    <row r="30" spans="2:10" x14ac:dyDescent="0.25">
      <c r="B30" s="4" t="s">
        <v>19</v>
      </c>
      <c r="C30" s="7">
        <f>SUMIFS(BBDD!$T:$T,BBDD!$C:$C,Summary!C$21,BBDD!$B:$B,Summary!$AJ$3)/SUMIFS(BBDD!$E:$E,BBDD!$C:$C,Summary!C$21,BBDD!$B:$B,Summary!$AJ$3)</f>
        <v>1</v>
      </c>
      <c r="D30" s="7">
        <f>SUMIFS(BBDD!$T:$T,BBDD!$C:$C,Summary!D$21,BBDD!$B:$B,Summary!$AJ$3)/SUMIFS(BBDD!$E:$E,BBDD!$C:$C,Summary!D$21,BBDD!$B:$B,Summary!$AJ$3)</f>
        <v>0.96558939781446185</v>
      </c>
      <c r="E30" s="7">
        <f>SUMIFS(BBDD!$T:$T,BBDD!$C:$C,Summary!E$21,BBDD!$B:$B,Summary!$AJ$3)/SUMIFS(BBDD!$E:$E,BBDD!$C:$C,Summary!E$21,BBDD!$B:$B,Summary!$AJ$3)</f>
        <v>0.97467713345150675</v>
      </c>
      <c r="F30" s="7">
        <f>SUMIFS(BBDD!$T:$T,BBDD!$C:$C,Summary!F$21,BBDD!$B:$B,Summary!$AJ$3)/SUMIFS(BBDD!$E:$E,BBDD!$C:$C,Summary!F$21,BBDD!$B:$B,Summary!$AJ$3)</f>
        <v>0.97861422245376406</v>
      </c>
      <c r="G30" s="7">
        <f>SUMIFS(BBDD!$T:$T,BBDD!$C:$C,Summary!G$21,BBDD!$B:$B,Summary!$AJ$3)/SUMIFS(BBDD!$E:$E,BBDD!$C:$C,Summary!G$21,BBDD!$B:$B,Summary!$AJ$3)</f>
        <v>0.97653383310317643</v>
      </c>
      <c r="H30" s="7">
        <f>SUMIFS(BBDD!$T:$T,BBDD!$C:$C,Summary!H$21,BBDD!$B:$B,Summary!$AJ$3)/SUMIFS(BBDD!$E:$E,BBDD!$C:$C,Summary!H$21,BBDD!$B:$B,Summary!$AJ$3)</f>
        <v>1</v>
      </c>
      <c r="I30" s="7">
        <f>SUMIFS(BBDD!$T:$T,BBDD!$C:$C,Summary!I$21,BBDD!$B:$B,Summary!$AJ$3)/SUMIFS(BBDD!$E:$E,BBDD!$C:$C,Summary!I$21,BBDD!$B:$B,Summary!$AJ$3)</f>
        <v>1</v>
      </c>
      <c r="J30" s="7">
        <f>SUMPRODUCT(C30:I30,C22:I22)/J22</f>
        <v>0.98110999448480019</v>
      </c>
    </row>
    <row r="31" spans="2:10" x14ac:dyDescent="0.25">
      <c r="B31" s="6" t="s">
        <v>20</v>
      </c>
      <c r="C31" s="14">
        <f>(C$22/IF($AJ$3="Chat",3,1)*C$23)/SUMIFS(BBDD!$U:$U,BBDD!$C:$C,Summary!C$21,BBDD!$B:$B,Summary!$AJ$3)</f>
        <v>0.42290388548057262</v>
      </c>
      <c r="D31" s="14">
        <f>(D$22/IF($AJ$3="Chat",3,1)*D$23)/SUMIFS(BBDD!$U:$U,BBDD!$C:$C,Summary!D$21,BBDD!$B:$B,Summary!$AJ$3)</f>
        <v>0.4357649442755826</v>
      </c>
      <c r="E31" s="14">
        <f>(E$22/IF($AJ$3="Chat",3,1)*E$23)/SUMIFS(BBDD!$U:$U,BBDD!$C:$C,Summary!E$21,BBDD!$B:$B,Summary!$AJ$3)</f>
        <v>0.40502564102564104</v>
      </c>
      <c r="F31" s="14">
        <f>(F$22/IF($AJ$3="Chat",3,1)*F$23)/SUMIFS(BBDD!$U:$U,BBDD!$C:$C,Summary!F$21,BBDD!$B:$B,Summary!$AJ$3)</f>
        <v>0.39374358974358975</v>
      </c>
      <c r="G31" s="14">
        <f>(G$22/IF($AJ$3="Chat",3,1)*G$23)/SUMIFS(BBDD!$U:$U,BBDD!$C:$C,Summary!G$21,BBDD!$B:$B,Summary!$AJ$3)</f>
        <v>0.34766803840877913</v>
      </c>
      <c r="H31" s="14">
        <f>(H$22/IF($AJ$3="Chat",3,1)*H$23)/SUMIFS(BBDD!$U:$U,BBDD!$C:$C,Summary!H$21,BBDD!$B:$B,Summary!$AJ$3)</f>
        <v>0.37045177045177047</v>
      </c>
      <c r="I31" s="14">
        <f>(I$22/IF($AJ$3="Chat",3,1)*I$23)/SUMIFS(BBDD!$U:$U,BBDD!$C:$C,Summary!I$21,BBDD!$B:$B,Summary!$AJ$3)</f>
        <v>0.12529100529100529</v>
      </c>
      <c r="J31" s="14">
        <f>(J$22/IF($D$2="Chat",3,1)*J$23)/SUMIFS(BBDD!$U:$U,BBDD!$B:$B,Summary!$AJ$3)</f>
        <v>0.39038249411203529</v>
      </c>
    </row>
    <row r="32" spans="2:10" x14ac:dyDescent="0.25"/>
    <row r="33" x14ac:dyDescent="0.25"/>
    <row r="46" x14ac:dyDescent="0.25"/>
  </sheetData>
  <phoneticPr fontId="3" type="noConversion"/>
  <conditionalFormatting sqref="C29:J29">
    <cfRule type="iconSet" priority="2">
      <iconSet>
        <cfvo type="percent" val="0"/>
        <cfvo type="num" val="0.8"/>
        <cfvo type="num" val="0.85"/>
      </iconSet>
    </cfRule>
  </conditionalFormatting>
  <conditionalFormatting sqref="C30:J30">
    <cfRule type="iconSet" priority="1">
      <iconSet>
        <cfvo type="percent" val="0"/>
        <cfvo type="num" val="0.9"/>
        <cfvo type="num" val="0.95"/>
      </iconSet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3" name="Drop Down 8">
              <controlPr defaultSize="0" autoLine="0" autoPict="0">
                <anchor moveWithCells="1">
                  <from>
                    <xdr:col>4</xdr:col>
                    <xdr:colOff>457200</xdr:colOff>
                    <xdr:row>0</xdr:row>
                    <xdr:rowOff>123825</xdr:rowOff>
                  </from>
                  <to>
                    <xdr:col>5</xdr:col>
                    <xdr:colOff>857250</xdr:colOff>
                    <xdr:row>2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19A4-D6B0-4314-AC95-3009EF29B567}">
  <sheetPr codeName="Sheet2"/>
  <dimension ref="A2:AO70"/>
  <sheetViews>
    <sheetView showGridLines="0" showRowColHeaders="0" workbookViewId="0">
      <selection activeCell="C41" sqref="C41"/>
    </sheetView>
  </sheetViews>
  <sheetFormatPr defaultColWidth="0" defaultRowHeight="15" x14ac:dyDescent="0.25"/>
  <cols>
    <col min="1" max="1" width="8.7109375" customWidth="1"/>
    <col min="2" max="2" width="26.7109375" customWidth="1"/>
    <col min="3" max="11" width="20.7109375" customWidth="1"/>
    <col min="12" max="12" width="26.140625" customWidth="1"/>
    <col min="13" max="13" width="8.7109375" customWidth="1"/>
    <col min="14" max="15" width="26.140625" hidden="1" customWidth="1"/>
    <col min="16" max="16" width="31.140625" hidden="1" customWidth="1"/>
    <col min="17" max="17" width="22.5703125" hidden="1" customWidth="1"/>
    <col min="18" max="36" width="0" hidden="1" customWidth="1"/>
    <col min="37" max="16384" width="9.140625" hidden="1"/>
  </cols>
  <sheetData>
    <row r="2" spans="4:41" x14ac:dyDescent="0.25">
      <c r="D2" s="2" t="s">
        <v>0</v>
      </c>
      <c r="G2" s="2" t="s">
        <v>21</v>
      </c>
    </row>
    <row r="3" spans="4:41" x14ac:dyDescent="0.25">
      <c r="AH3" t="s">
        <v>1</v>
      </c>
      <c r="AI3">
        <v>2</v>
      </c>
      <c r="AJ3" t="str">
        <f>IF(AI3=1,AH3,IF(AI3=2,AH4,""))</f>
        <v>Voz</v>
      </c>
      <c r="AM3" t="s">
        <v>3</v>
      </c>
      <c r="AN3">
        <v>1</v>
      </c>
      <c r="AO3" t="str">
        <f>IF(AN3=1,AM3,IF(AN3=2,AM4,IF(AN3=3,AM5,IF(AN3=4,AM6,IF(AN3=5,AM7,IF(AN3=6,AM8,IF(AN3=7,AM9,0)))))))</f>
        <v>Lunes</v>
      </c>
    </row>
    <row r="4" spans="4:41" x14ac:dyDescent="0.25">
      <c r="AH4" t="s">
        <v>2</v>
      </c>
      <c r="AM4" t="s">
        <v>4</v>
      </c>
    </row>
    <row r="5" spans="4:41" x14ac:dyDescent="0.25">
      <c r="AM5" t="s">
        <v>5</v>
      </c>
    </row>
    <row r="6" spans="4:41" x14ac:dyDescent="0.25">
      <c r="AM6" t="s">
        <v>6</v>
      </c>
    </row>
    <row r="7" spans="4:41" x14ac:dyDescent="0.25">
      <c r="AM7" t="s">
        <v>7</v>
      </c>
    </row>
    <row r="8" spans="4:41" x14ac:dyDescent="0.25">
      <c r="AM8" t="s">
        <v>8</v>
      </c>
    </row>
    <row r="9" spans="4:41" x14ac:dyDescent="0.25">
      <c r="AM9" t="s">
        <v>9</v>
      </c>
    </row>
    <row r="21" spans="2:1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2:1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2:1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2:1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2:1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2:1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2:11" x14ac:dyDescent="0.25"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2:1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2:11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2:1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2:11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2:11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</row>
    <row r="37" spans="2:12" s="19" customFormat="1" ht="30" x14ac:dyDescent="0.25">
      <c r="B37" s="29" t="s">
        <v>22</v>
      </c>
      <c r="C37" s="20" t="s">
        <v>11</v>
      </c>
      <c r="D37" s="20" t="s">
        <v>12</v>
      </c>
      <c r="E37" s="20" t="s">
        <v>13</v>
      </c>
      <c r="F37" s="20" t="s">
        <v>14</v>
      </c>
      <c r="G37" s="20" t="s">
        <v>15</v>
      </c>
      <c r="H37" s="20" t="s">
        <v>16</v>
      </c>
      <c r="I37" s="20" t="s">
        <v>17</v>
      </c>
      <c r="J37" s="20" t="s">
        <v>18</v>
      </c>
      <c r="K37" s="20" t="s">
        <v>19</v>
      </c>
      <c r="L37" s="20" t="s">
        <v>20</v>
      </c>
    </row>
    <row r="38" spans="2:12" s="19" customFormat="1" x14ac:dyDescent="0.25">
      <c r="B38" s="29"/>
      <c r="C38" s="21">
        <f>SUM(C39:C70)</f>
        <v>376</v>
      </c>
      <c r="D38" s="22">
        <f>SUMPRODUCT(D39:D70,C39:C70)/C38</f>
        <v>660</v>
      </c>
      <c r="E38" s="21">
        <f>SUM(E39:E70)/15</f>
        <v>15.8</v>
      </c>
      <c r="F38" s="21">
        <f>SUM(F39:F70)/15</f>
        <v>18.8</v>
      </c>
      <c r="G38" s="23">
        <f>SUMPRODUCT(G39:G70,C39:C70)/C38</f>
        <v>0.1</v>
      </c>
      <c r="H38" s="21">
        <f>SUM(H39:H70)/15</f>
        <v>21.733333333333334</v>
      </c>
      <c r="I38" s="21">
        <f>SUM(I39:I70)/15</f>
        <v>2.9333333333333331</v>
      </c>
      <c r="J38" s="23">
        <f>SUMPRODUCT(J39:J70,C39:C70)/C38</f>
        <v>0.90389119239246596</v>
      </c>
      <c r="K38" s="23">
        <f>SUMPRODUCT(K39:K70,C39:C70)/C38</f>
        <v>1</v>
      </c>
      <c r="L38" s="23">
        <f>(C$38/IF($AJ$3="Chat",3,1)*D$38)/SUMIFS(BBDD!$U:$U,BBDD!$B:$B,Intraday!AJ$3,BBDD!$C:$C,Intraday!$AO$3)</f>
        <v>0.42290388548057262</v>
      </c>
    </row>
    <row r="39" spans="2:12" x14ac:dyDescent="0.25">
      <c r="B39" s="25">
        <v>0.25</v>
      </c>
      <c r="C39" s="24">
        <f>SUMIFS(BBDD!$E:$E,BBDD!$D:$D,Intraday!$B39,BBDD!$B:$B,Intraday!$AJ$3,BBDD!$C:$C,Intraday!$AO$3)</f>
        <v>0</v>
      </c>
      <c r="D39" s="9">
        <f>SUMIFS(BBDD!$F:$F,BBDD!$D:$D,Intraday!$B39,BBDD!$B:$B,Intraday!$AJ$3,BBDD!$C:$C,Intraday!$AO$3)</f>
        <v>0</v>
      </c>
      <c r="E39" s="24">
        <f>SUMIFS(BBDD!$J:$J,BBDD!$D:$D,Intraday!$B39,BBDD!$B:$B,Intraday!$AJ$3,BBDD!$C:$C,Intraday!$AO$3)</f>
        <v>1</v>
      </c>
      <c r="F39" s="24">
        <f>SUMIFS(BBDD!$L:$L,BBDD!$D:$D,Intraday!$B39,BBDD!$B:$B,Intraday!$AJ$3,BBDD!$C:$C,Intraday!$AO$3)</f>
        <v>2</v>
      </c>
      <c r="G39" s="12">
        <v>0.1</v>
      </c>
      <c r="H39" s="24">
        <f>SUMIFS(BBDD!$M:$M,BBDD!$D:$D,Intraday!$B39,BBDD!$B:$B,Intraday!$AJ$3,BBDD!$C:$C,Intraday!$AO$3)</f>
        <v>2</v>
      </c>
      <c r="I39" s="24">
        <f>+H39-F39</f>
        <v>0</v>
      </c>
      <c r="J39" s="12">
        <f>SUMIFS(BBDD!$O:$O,BBDD!$D:$D,Intraday!$B39,BBDD!$B:$B,Intraday!$AJ$3,BBDD!$C:$C,Intraday!$AO$3)</f>
        <v>0</v>
      </c>
      <c r="K39" s="12">
        <f>SUMIFS(BBDD!$P:$P,BBDD!$D:$D,Intraday!$B39,BBDD!$B:$B,Intraday!$AJ$3,BBDD!$C:$C,Intraday!$AO$3)</f>
        <v>0</v>
      </c>
      <c r="L39" s="12">
        <f>($C39/IF($D$2="Chat",3,1)*$D39)/SUMIFS(BBDD!$U:$U,BBDD!$D:$D,Intraday!$B39,BBDD!$B:$B,Intraday!$AJ$3,BBDD!$C:$C,Intraday!$AO$3)</f>
        <v>0</v>
      </c>
    </row>
    <row r="40" spans="2:12" x14ac:dyDescent="0.25">
      <c r="B40" s="25">
        <v>0.27083333333333331</v>
      </c>
      <c r="C40" s="15">
        <f>SUMIFS(BBDD!$E:$E,BBDD!$D:$D,Intraday!$B40,BBDD!$B:$B,Intraday!$AJ$3,BBDD!$C:$C,Intraday!$AO$3)</f>
        <v>3</v>
      </c>
      <c r="D40" s="8">
        <f>SUMIFS(BBDD!$F:$F,BBDD!$D:$D,Intraday!$B40,BBDD!$B:$B,Intraday!$AJ$3,BBDD!$C:$C,Intraday!$AO$3)</f>
        <v>660</v>
      </c>
      <c r="E40" s="15">
        <f>SUMIFS(BBDD!$J:$J,BBDD!$D:$D,Intraday!$B40,BBDD!$B:$B,Intraday!$AJ$3,BBDD!$C:$C,Intraday!$AO$3)</f>
        <v>3</v>
      </c>
      <c r="F40" s="15">
        <f>SUMIFS(BBDD!$L:$L,BBDD!$D:$D,Intraday!$B40,BBDD!$B:$B,Intraday!$AJ$3,BBDD!$C:$C,Intraday!$AO$3)</f>
        <v>4</v>
      </c>
      <c r="G40" s="11">
        <v>0.1</v>
      </c>
      <c r="H40" s="15">
        <f>SUMIFS(BBDD!$M:$M,BBDD!$D:$D,Intraday!$B40,BBDD!$B:$B,Intraday!$AJ$3,BBDD!$C:$C,Intraday!$AO$3)</f>
        <v>2</v>
      </c>
      <c r="I40" s="15">
        <f t="shared" ref="I40:I70" si="0">+H40-F40</f>
        <v>-2</v>
      </c>
      <c r="J40" s="11">
        <f>SUMIFS(BBDD!$O:$O,BBDD!$D:$D,Intraday!$B40,BBDD!$B:$B,Intraday!$AJ$3,BBDD!$C:$C,Intraday!$AO$3)</f>
        <v>0.27670058608055115</v>
      </c>
      <c r="K40" s="11">
        <f>SUMIFS(BBDD!$P:$P,BBDD!$D:$D,Intraday!$B40,BBDD!$B:$B,Intraday!$AJ$3,BBDD!$C:$C,Intraday!$AO$3)</f>
        <v>1</v>
      </c>
      <c r="L40" s="11">
        <f>($C40/IF($D$2="Chat",3,1)*$D40)/SUMIFS(BBDD!$U:$U,BBDD!$D:$D,Intraday!$B40,BBDD!$B:$B,Intraday!$AJ$3,BBDD!$C:$C,Intraday!$AO$3)</f>
        <v>0.55000000000000004</v>
      </c>
    </row>
    <row r="41" spans="2:12" x14ac:dyDescent="0.25">
      <c r="B41" s="25">
        <v>0.29166666666666669</v>
      </c>
      <c r="C41" s="24">
        <f>SUMIFS(BBDD!$E:$E,BBDD!$D:$D,Intraday!$B41,BBDD!$B:$B,Intraday!$AJ$3,BBDD!$C:$C,Intraday!$AO$3)</f>
        <v>4</v>
      </c>
      <c r="D41" s="9">
        <f>SUMIFS(BBDD!$F:$F,BBDD!$D:$D,Intraday!$B41,BBDD!$B:$B,Intraday!$AJ$3,BBDD!$C:$C,Intraday!$AO$3)</f>
        <v>660</v>
      </c>
      <c r="E41" s="24">
        <f>SUMIFS(BBDD!$J:$J,BBDD!$D:$D,Intraday!$B41,BBDD!$B:$B,Intraday!$AJ$3,BBDD!$C:$C,Intraday!$AO$3)</f>
        <v>4</v>
      </c>
      <c r="F41" s="24">
        <f>SUMIFS(BBDD!$L:$L,BBDD!$D:$D,Intraday!$B41,BBDD!$B:$B,Intraday!$AJ$3,BBDD!$C:$C,Intraday!$AO$3)</f>
        <v>5</v>
      </c>
      <c r="G41" s="12">
        <v>0.1</v>
      </c>
      <c r="H41" s="24">
        <f>SUMIFS(BBDD!$M:$M,BBDD!$D:$D,Intraday!$B41,BBDD!$B:$B,Intraday!$AJ$3,BBDD!$C:$C,Intraday!$AO$3)</f>
        <v>5</v>
      </c>
      <c r="I41" s="24">
        <f t="shared" si="0"/>
        <v>0</v>
      </c>
      <c r="J41" s="12">
        <f>SUMIFS(BBDD!$O:$O,BBDD!$D:$D,Intraday!$B41,BBDD!$B:$B,Intraday!$AJ$3,BBDD!$C:$C,Intraday!$AO$3)</f>
        <v>0.94007736444473267</v>
      </c>
      <c r="K41" s="12">
        <f>SUMIFS(BBDD!$P:$P,BBDD!$D:$D,Intraday!$B41,BBDD!$B:$B,Intraday!$AJ$3,BBDD!$C:$C,Intraday!$AO$3)</f>
        <v>1</v>
      </c>
      <c r="L41" s="12">
        <f>($C41/IF($D$2="Chat",3,1)*$D41)/SUMIFS(BBDD!$U:$U,BBDD!$D:$D,Intraday!$B41,BBDD!$B:$B,Intraday!$AJ$3,BBDD!$C:$C,Intraday!$AO$3)</f>
        <v>0.29333333333333333</v>
      </c>
    </row>
    <row r="42" spans="2:12" x14ac:dyDescent="0.25">
      <c r="B42" s="25">
        <v>0.3125</v>
      </c>
      <c r="C42" s="15">
        <f>SUMIFS(BBDD!$E:$E,BBDD!$D:$D,Intraday!$B42,BBDD!$B:$B,Intraday!$AJ$3,BBDD!$C:$C,Intraday!$AO$3)</f>
        <v>6</v>
      </c>
      <c r="D42" s="8">
        <f>SUMIFS(BBDD!$F:$F,BBDD!$D:$D,Intraday!$B42,BBDD!$B:$B,Intraday!$AJ$3,BBDD!$C:$C,Intraday!$AO$3)</f>
        <v>660</v>
      </c>
      <c r="E42" s="15">
        <f>SUMIFS(BBDD!$J:$J,BBDD!$D:$D,Intraday!$B42,BBDD!$B:$B,Intraday!$AJ$3,BBDD!$C:$C,Intraday!$AO$3)</f>
        <v>5</v>
      </c>
      <c r="F42" s="15">
        <f>SUMIFS(BBDD!$L:$L,BBDD!$D:$D,Intraday!$B42,BBDD!$B:$B,Intraday!$AJ$3,BBDD!$C:$C,Intraday!$AO$3)</f>
        <v>6</v>
      </c>
      <c r="G42" s="11">
        <v>0.1</v>
      </c>
      <c r="H42" s="15">
        <f>SUMIFS(BBDD!$M:$M,BBDD!$D:$D,Intraday!$B42,BBDD!$B:$B,Intraday!$AJ$3,BBDD!$C:$C,Intraday!$AO$3)</f>
        <v>5</v>
      </c>
      <c r="I42" s="15">
        <f t="shared" si="0"/>
        <v>-1</v>
      </c>
      <c r="J42" s="11">
        <f>SUMIFS(BBDD!$O:$O,BBDD!$D:$D,Intraday!$B42,BBDD!$B:$B,Intraday!$AJ$3,BBDD!$C:$C,Intraday!$AO$3)</f>
        <v>0.80857062339782715</v>
      </c>
      <c r="K42" s="11">
        <f>SUMIFS(BBDD!$P:$P,BBDD!$D:$D,Intraday!$B42,BBDD!$B:$B,Intraday!$AJ$3,BBDD!$C:$C,Intraday!$AO$3)</f>
        <v>1</v>
      </c>
      <c r="L42" s="11">
        <f>($C42/IF($D$2="Chat",3,1)*$D42)/SUMIFS(BBDD!$U:$U,BBDD!$D:$D,Intraday!$B42,BBDD!$B:$B,Intraday!$AJ$3,BBDD!$C:$C,Intraday!$AO$3)</f>
        <v>0.44</v>
      </c>
    </row>
    <row r="43" spans="2:12" x14ac:dyDescent="0.25">
      <c r="B43" s="25">
        <v>0.33333333333333331</v>
      </c>
      <c r="C43" s="24">
        <f>SUMIFS(BBDD!$E:$E,BBDD!$D:$D,Intraday!$B43,BBDD!$B:$B,Intraday!$AJ$3,BBDD!$C:$C,Intraday!$AO$3)</f>
        <v>20</v>
      </c>
      <c r="D43" s="9">
        <f>SUMIFS(BBDD!$F:$F,BBDD!$D:$D,Intraday!$B43,BBDD!$B:$B,Intraday!$AJ$3,BBDD!$C:$C,Intraday!$AO$3)</f>
        <v>660</v>
      </c>
      <c r="E43" s="24">
        <f>SUMIFS(BBDD!$J:$J,BBDD!$D:$D,Intraday!$B43,BBDD!$B:$B,Intraday!$AJ$3,BBDD!$C:$C,Intraday!$AO$3)</f>
        <v>11</v>
      </c>
      <c r="F43" s="24">
        <f>SUMIFS(BBDD!$L:$L,BBDD!$D:$D,Intraday!$B43,BBDD!$B:$B,Intraday!$AJ$3,BBDD!$C:$C,Intraday!$AO$3)</f>
        <v>13</v>
      </c>
      <c r="G43" s="12">
        <v>0.1</v>
      </c>
      <c r="H43" s="24">
        <f>SUMIFS(BBDD!$M:$M,BBDD!$D:$D,Intraday!$B43,BBDD!$B:$B,Intraday!$AJ$3,BBDD!$C:$C,Intraday!$AO$3)</f>
        <v>13</v>
      </c>
      <c r="I43" s="24">
        <f t="shared" si="0"/>
        <v>0</v>
      </c>
      <c r="J43" s="12">
        <f>SUMIFS(BBDD!$O:$O,BBDD!$D:$D,Intraday!$B43,BBDD!$B:$B,Intraday!$AJ$3,BBDD!$C:$C,Intraday!$AO$3)</f>
        <v>0.8758467435836792</v>
      </c>
      <c r="K43" s="12">
        <f>SUMIFS(BBDD!$P:$P,BBDD!$D:$D,Intraday!$B43,BBDD!$B:$B,Intraday!$AJ$3,BBDD!$C:$C,Intraday!$AO$3)</f>
        <v>1</v>
      </c>
      <c r="L43" s="12">
        <f>($C43/IF($D$2="Chat",3,1)*$D43)/SUMIFS(BBDD!$U:$U,BBDD!$D:$D,Intraday!$B43,BBDD!$B:$B,Intraday!$AJ$3,BBDD!$C:$C,Intraday!$AO$3)</f>
        <v>0.5641025641025641</v>
      </c>
    </row>
    <row r="44" spans="2:12" x14ac:dyDescent="0.25">
      <c r="B44" s="25">
        <v>0.35416666666666669</v>
      </c>
      <c r="C44" s="15">
        <f>SUMIFS(BBDD!$E:$E,BBDD!$D:$D,Intraday!$B44,BBDD!$B:$B,Intraday!$AJ$3,BBDD!$C:$C,Intraday!$AO$3)</f>
        <v>18</v>
      </c>
      <c r="D44" s="8">
        <f>SUMIFS(BBDD!$F:$F,BBDD!$D:$D,Intraday!$B44,BBDD!$B:$B,Intraday!$AJ$3,BBDD!$C:$C,Intraday!$AO$3)</f>
        <v>660</v>
      </c>
      <c r="E44" s="15">
        <f>SUMIFS(BBDD!$J:$J,BBDD!$D:$D,Intraday!$B44,BBDD!$B:$B,Intraday!$AJ$3,BBDD!$C:$C,Intraday!$AO$3)</f>
        <v>10</v>
      </c>
      <c r="F44" s="15">
        <f>SUMIFS(BBDD!$L:$L,BBDD!$D:$D,Intraday!$B44,BBDD!$B:$B,Intraday!$AJ$3,BBDD!$C:$C,Intraday!$AO$3)</f>
        <v>12</v>
      </c>
      <c r="G44" s="11">
        <v>0.1</v>
      </c>
      <c r="H44" s="15">
        <f>SUMIFS(BBDD!$M:$M,BBDD!$D:$D,Intraday!$B44,BBDD!$B:$B,Intraday!$AJ$3,BBDD!$C:$C,Intraday!$AO$3)</f>
        <v>13.5</v>
      </c>
      <c r="I44" s="15">
        <f t="shared" si="0"/>
        <v>1.5</v>
      </c>
      <c r="J44" s="11">
        <f>SUMIFS(BBDD!$O:$O,BBDD!$D:$D,Intraday!$B44,BBDD!$B:$B,Intraday!$AJ$3,BBDD!$C:$C,Intraday!$AO$3)</f>
        <v>0.96428555250167847</v>
      </c>
      <c r="K44" s="11">
        <f>SUMIFS(BBDD!$P:$P,BBDD!$D:$D,Intraday!$B44,BBDD!$B:$B,Intraday!$AJ$3,BBDD!$C:$C,Intraday!$AO$3)</f>
        <v>1</v>
      </c>
      <c r="L44" s="11">
        <f>($C44/IF($D$2="Chat",3,1)*$D44)/SUMIFS(BBDD!$U:$U,BBDD!$D:$D,Intraday!$B44,BBDD!$B:$B,Intraday!$AJ$3,BBDD!$C:$C,Intraday!$AO$3)</f>
        <v>0.48888888888888887</v>
      </c>
    </row>
    <row r="45" spans="2:12" x14ac:dyDescent="0.25">
      <c r="B45" s="25">
        <v>0.375</v>
      </c>
      <c r="C45" s="24">
        <f>SUMIFS(BBDD!$E:$E,BBDD!$D:$D,Intraday!$B45,BBDD!$B:$B,Intraday!$AJ$3,BBDD!$C:$C,Intraday!$AO$3)</f>
        <v>17</v>
      </c>
      <c r="D45" s="9">
        <f>SUMIFS(BBDD!$F:$F,BBDD!$D:$D,Intraday!$B45,BBDD!$B:$B,Intraday!$AJ$3,BBDD!$C:$C,Intraday!$AO$3)</f>
        <v>660</v>
      </c>
      <c r="E45" s="24">
        <f>SUMIFS(BBDD!$J:$J,BBDD!$D:$D,Intraday!$B45,BBDD!$B:$B,Intraday!$AJ$3,BBDD!$C:$C,Intraday!$AO$3)</f>
        <v>10</v>
      </c>
      <c r="F45" s="24">
        <f>SUMIFS(BBDD!$L:$L,BBDD!$D:$D,Intraday!$B45,BBDD!$B:$B,Intraday!$AJ$3,BBDD!$C:$C,Intraday!$AO$3)</f>
        <v>12</v>
      </c>
      <c r="G45" s="12">
        <v>0.1</v>
      </c>
      <c r="H45" s="24">
        <f>SUMIFS(BBDD!$M:$M,BBDD!$D:$D,Intraday!$B45,BBDD!$B:$B,Intraday!$AJ$3,BBDD!$C:$C,Intraday!$AO$3)</f>
        <v>15.5</v>
      </c>
      <c r="I45" s="24">
        <f t="shared" si="0"/>
        <v>3.5</v>
      </c>
      <c r="J45" s="12">
        <f>SUMIFS(BBDD!$O:$O,BBDD!$D:$D,Intraday!$B45,BBDD!$B:$B,Intraday!$AJ$3,BBDD!$C:$C,Intraday!$AO$3)</f>
        <v>0.99033105373382568</v>
      </c>
      <c r="K45" s="12">
        <f>SUMIFS(BBDD!$P:$P,BBDD!$D:$D,Intraday!$B45,BBDD!$B:$B,Intraday!$AJ$3,BBDD!$C:$C,Intraday!$AO$3)</f>
        <v>1</v>
      </c>
      <c r="L45" s="12">
        <f>($C45/IF($D$2="Chat",3,1)*$D45)/SUMIFS(BBDD!$U:$U,BBDD!$D:$D,Intraday!$B45,BBDD!$B:$B,Intraday!$AJ$3,BBDD!$C:$C,Intraday!$AO$3)</f>
        <v>0.40215053763440861</v>
      </c>
    </row>
    <row r="46" spans="2:12" x14ac:dyDescent="0.25">
      <c r="B46" s="25">
        <v>0.39583333333333331</v>
      </c>
      <c r="C46" s="15">
        <f>SUMIFS(BBDD!$E:$E,BBDD!$D:$D,Intraday!$B46,BBDD!$B:$B,Intraday!$AJ$3,BBDD!$C:$C,Intraday!$AO$3)</f>
        <v>22</v>
      </c>
      <c r="D46" s="8">
        <f>SUMIFS(BBDD!$F:$F,BBDD!$D:$D,Intraday!$B46,BBDD!$B:$B,Intraday!$AJ$3,BBDD!$C:$C,Intraday!$AO$3)</f>
        <v>660</v>
      </c>
      <c r="E46" s="15">
        <f>SUMIFS(BBDD!$J:$J,BBDD!$D:$D,Intraday!$B46,BBDD!$B:$B,Intraday!$AJ$3,BBDD!$C:$C,Intraday!$AO$3)</f>
        <v>12</v>
      </c>
      <c r="F46" s="15">
        <f>SUMIFS(BBDD!$L:$L,BBDD!$D:$D,Intraday!$B46,BBDD!$B:$B,Intraday!$AJ$3,BBDD!$C:$C,Intraday!$AO$3)</f>
        <v>14</v>
      </c>
      <c r="G46" s="11">
        <v>0.1</v>
      </c>
      <c r="H46" s="15">
        <f>SUMIFS(BBDD!$M:$M,BBDD!$D:$D,Intraday!$B46,BBDD!$B:$B,Intraday!$AJ$3,BBDD!$C:$C,Intraday!$AO$3)</f>
        <v>14.5</v>
      </c>
      <c r="I46" s="15">
        <f t="shared" si="0"/>
        <v>0.5</v>
      </c>
      <c r="J46" s="11">
        <f>SUMIFS(BBDD!$O:$O,BBDD!$D:$D,Intraday!$B46,BBDD!$B:$B,Intraday!$AJ$3,BBDD!$C:$C,Intraday!$AO$3)</f>
        <v>0.9314502477645874</v>
      </c>
      <c r="K46" s="11">
        <f>SUMIFS(BBDD!$P:$P,BBDD!$D:$D,Intraday!$B46,BBDD!$B:$B,Intraday!$AJ$3,BBDD!$C:$C,Intraday!$AO$3)</f>
        <v>1</v>
      </c>
      <c r="L46" s="11">
        <f>($C46/IF($D$2="Chat",3,1)*$D46)/SUMIFS(BBDD!$U:$U,BBDD!$D:$D,Intraday!$B46,BBDD!$B:$B,Intraday!$AJ$3,BBDD!$C:$C,Intraday!$AO$3)</f>
        <v>0.55632183908045973</v>
      </c>
    </row>
    <row r="47" spans="2:12" x14ac:dyDescent="0.25">
      <c r="B47" s="25">
        <v>0.41666666666666669</v>
      </c>
      <c r="C47" s="24">
        <f>SUMIFS(BBDD!$E:$E,BBDD!$D:$D,Intraday!$B47,BBDD!$B:$B,Intraday!$AJ$3,BBDD!$C:$C,Intraday!$AO$3)</f>
        <v>24</v>
      </c>
      <c r="D47" s="9">
        <f>SUMIFS(BBDD!$F:$F,BBDD!$D:$D,Intraday!$B47,BBDD!$B:$B,Intraday!$AJ$3,BBDD!$C:$C,Intraday!$AO$3)</f>
        <v>660</v>
      </c>
      <c r="E47" s="24">
        <f>SUMIFS(BBDD!$J:$J,BBDD!$D:$D,Intraday!$B47,BBDD!$B:$B,Intraday!$AJ$3,BBDD!$C:$C,Intraday!$AO$3)</f>
        <v>13</v>
      </c>
      <c r="F47" s="24">
        <f>SUMIFS(BBDD!$L:$L,BBDD!$D:$D,Intraday!$B47,BBDD!$B:$B,Intraday!$AJ$3,BBDD!$C:$C,Intraday!$AO$3)</f>
        <v>15</v>
      </c>
      <c r="G47" s="12">
        <v>0.1</v>
      </c>
      <c r="H47" s="24">
        <f>SUMIFS(BBDD!$M:$M,BBDD!$D:$D,Intraday!$B47,BBDD!$B:$B,Intraday!$AJ$3,BBDD!$C:$C,Intraday!$AO$3)</f>
        <v>18.5</v>
      </c>
      <c r="I47" s="24">
        <f t="shared" si="0"/>
        <v>3.5</v>
      </c>
      <c r="J47" s="12">
        <f>SUMIFS(BBDD!$O:$O,BBDD!$D:$D,Intraday!$B47,BBDD!$B:$B,Intraday!$AJ$3,BBDD!$C:$C,Intraday!$AO$3)</f>
        <v>0.98444193601608276</v>
      </c>
      <c r="K47" s="12">
        <f>SUMIFS(BBDD!$P:$P,BBDD!$D:$D,Intraday!$B47,BBDD!$B:$B,Intraday!$AJ$3,BBDD!$C:$C,Intraday!$AO$3)</f>
        <v>1</v>
      </c>
      <c r="L47" s="12">
        <f>($C47/IF($D$2="Chat",3,1)*$D47)/SUMIFS(BBDD!$U:$U,BBDD!$D:$D,Intraday!$B47,BBDD!$B:$B,Intraday!$AJ$3,BBDD!$C:$C,Intraday!$AO$3)</f>
        <v>0.4756756756756757</v>
      </c>
    </row>
    <row r="48" spans="2:12" x14ac:dyDescent="0.25">
      <c r="B48" s="25">
        <v>0.4375</v>
      </c>
      <c r="C48" s="15">
        <f>SUMIFS(BBDD!$E:$E,BBDD!$D:$D,Intraday!$B48,BBDD!$B:$B,Intraday!$AJ$3,BBDD!$C:$C,Intraday!$AO$3)</f>
        <v>20</v>
      </c>
      <c r="D48" s="8">
        <f>SUMIFS(BBDD!$F:$F,BBDD!$D:$D,Intraday!$B48,BBDD!$B:$B,Intraday!$AJ$3,BBDD!$C:$C,Intraday!$AO$3)</f>
        <v>660</v>
      </c>
      <c r="E48" s="15">
        <f>SUMIFS(BBDD!$J:$J,BBDD!$D:$D,Intraday!$B48,BBDD!$B:$B,Intraday!$AJ$3,BBDD!$C:$C,Intraday!$AO$3)</f>
        <v>11</v>
      </c>
      <c r="F48" s="15">
        <f>SUMIFS(BBDD!$L:$L,BBDD!$D:$D,Intraday!$B48,BBDD!$B:$B,Intraday!$AJ$3,BBDD!$C:$C,Intraday!$AO$3)</f>
        <v>13</v>
      </c>
      <c r="G48" s="11">
        <v>0.1</v>
      </c>
      <c r="H48" s="15">
        <f>SUMIFS(BBDD!$M:$M,BBDD!$D:$D,Intraday!$B48,BBDD!$B:$B,Intraday!$AJ$3,BBDD!$C:$C,Intraday!$AO$3)</f>
        <v>16.5</v>
      </c>
      <c r="I48" s="15">
        <f t="shared" si="0"/>
        <v>3.5</v>
      </c>
      <c r="J48" s="11">
        <f>SUMIFS(BBDD!$O:$O,BBDD!$D:$D,Intraday!$B48,BBDD!$B:$B,Intraday!$AJ$3,BBDD!$C:$C,Intraday!$AO$3)</f>
        <v>0.98467755317687988</v>
      </c>
      <c r="K48" s="11">
        <f>SUMIFS(BBDD!$P:$P,BBDD!$D:$D,Intraday!$B48,BBDD!$B:$B,Intraday!$AJ$3,BBDD!$C:$C,Intraday!$AO$3)</f>
        <v>1</v>
      </c>
      <c r="L48" s="11">
        <f>($C48/IF($D$2="Chat",3,1)*$D48)/SUMIFS(BBDD!$U:$U,BBDD!$D:$D,Intraday!$B48,BBDD!$B:$B,Intraday!$AJ$3,BBDD!$C:$C,Intraday!$AO$3)</f>
        <v>0.44444444444444442</v>
      </c>
    </row>
    <row r="49" spans="2:12" x14ac:dyDescent="0.25">
      <c r="B49" s="25">
        <v>0.45833333333333331</v>
      </c>
      <c r="C49" s="24">
        <f>SUMIFS(BBDD!$E:$E,BBDD!$D:$D,Intraday!$B49,BBDD!$B:$B,Intraday!$AJ$3,BBDD!$C:$C,Intraday!$AO$3)</f>
        <v>16</v>
      </c>
      <c r="D49" s="9">
        <f>SUMIFS(BBDD!$F:$F,BBDD!$D:$D,Intraday!$B49,BBDD!$B:$B,Intraday!$AJ$3,BBDD!$C:$C,Intraday!$AO$3)</f>
        <v>660</v>
      </c>
      <c r="E49" s="24">
        <f>SUMIFS(BBDD!$J:$J,BBDD!$D:$D,Intraday!$B49,BBDD!$B:$B,Intraday!$AJ$3,BBDD!$C:$C,Intraday!$AO$3)</f>
        <v>10</v>
      </c>
      <c r="F49" s="24">
        <f>SUMIFS(BBDD!$L:$L,BBDD!$D:$D,Intraday!$B49,BBDD!$B:$B,Intraday!$AJ$3,BBDD!$C:$C,Intraday!$AO$3)</f>
        <v>12</v>
      </c>
      <c r="G49" s="12">
        <v>0.1</v>
      </c>
      <c r="H49" s="24">
        <f>SUMIFS(BBDD!$M:$M,BBDD!$D:$D,Intraday!$B49,BBDD!$B:$B,Intraday!$AJ$3,BBDD!$C:$C,Intraday!$AO$3)</f>
        <v>18</v>
      </c>
      <c r="I49" s="24">
        <f t="shared" si="0"/>
        <v>6</v>
      </c>
      <c r="J49" s="12">
        <f>SUMIFS(BBDD!$O:$O,BBDD!$D:$D,Intraday!$B49,BBDD!$B:$B,Intraday!$AJ$3,BBDD!$C:$C,Intraday!$AO$3)</f>
        <v>0.99969446659088135</v>
      </c>
      <c r="K49" s="12">
        <f>SUMIFS(BBDD!$P:$P,BBDD!$D:$D,Intraday!$B49,BBDD!$B:$B,Intraday!$AJ$3,BBDD!$C:$C,Intraday!$AO$3)</f>
        <v>1</v>
      </c>
      <c r="L49" s="12">
        <f>($C49/IF($D$2="Chat",3,1)*$D49)/SUMIFS(BBDD!$U:$U,BBDD!$D:$D,Intraday!$B49,BBDD!$B:$B,Intraday!$AJ$3,BBDD!$C:$C,Intraday!$AO$3)</f>
        <v>0.32592592592592595</v>
      </c>
    </row>
    <row r="50" spans="2:12" x14ac:dyDescent="0.25">
      <c r="B50" s="25">
        <v>0.47916666666666669</v>
      </c>
      <c r="C50" s="15">
        <f>SUMIFS(BBDD!$E:$E,BBDD!$D:$D,Intraday!$B50,BBDD!$B:$B,Intraday!$AJ$3,BBDD!$C:$C,Intraday!$AO$3)</f>
        <v>19</v>
      </c>
      <c r="D50" s="8">
        <f>SUMIFS(BBDD!$F:$F,BBDD!$D:$D,Intraday!$B50,BBDD!$B:$B,Intraday!$AJ$3,BBDD!$C:$C,Intraday!$AO$3)</f>
        <v>660</v>
      </c>
      <c r="E50" s="15">
        <f>SUMIFS(BBDD!$J:$J,BBDD!$D:$D,Intraday!$B50,BBDD!$B:$B,Intraday!$AJ$3,BBDD!$C:$C,Intraday!$AO$3)</f>
        <v>11</v>
      </c>
      <c r="F50" s="15">
        <f>SUMIFS(BBDD!$L:$L,BBDD!$D:$D,Intraday!$B50,BBDD!$B:$B,Intraday!$AJ$3,BBDD!$C:$C,Intraday!$AO$3)</f>
        <v>13</v>
      </c>
      <c r="G50" s="11">
        <v>0.1</v>
      </c>
      <c r="H50" s="15">
        <f>SUMIFS(BBDD!$M:$M,BBDD!$D:$D,Intraday!$B50,BBDD!$B:$B,Intraday!$AJ$3,BBDD!$C:$C,Intraday!$AO$3)</f>
        <v>18</v>
      </c>
      <c r="I50" s="15">
        <f t="shared" si="0"/>
        <v>5</v>
      </c>
      <c r="J50" s="11">
        <f>SUMIFS(BBDD!$O:$O,BBDD!$D:$D,Intraday!$B50,BBDD!$B:$B,Intraday!$AJ$3,BBDD!$C:$C,Intraday!$AO$3)</f>
        <v>0.99816018342971802</v>
      </c>
      <c r="K50" s="11">
        <f>SUMIFS(BBDD!$P:$P,BBDD!$D:$D,Intraday!$B50,BBDD!$B:$B,Intraday!$AJ$3,BBDD!$C:$C,Intraday!$AO$3)</f>
        <v>1</v>
      </c>
      <c r="L50" s="11">
        <f>($C50/IF($D$2="Chat",3,1)*$D50)/SUMIFS(BBDD!$U:$U,BBDD!$D:$D,Intraday!$B50,BBDD!$B:$B,Intraday!$AJ$3,BBDD!$C:$C,Intraday!$AO$3)</f>
        <v>0.38703703703703701</v>
      </c>
    </row>
    <row r="51" spans="2:12" x14ac:dyDescent="0.25">
      <c r="B51" s="25">
        <v>0.5</v>
      </c>
      <c r="C51" s="24">
        <f>SUMIFS(BBDD!$E:$E,BBDD!$D:$D,Intraday!$B51,BBDD!$B:$B,Intraday!$AJ$3,BBDD!$C:$C,Intraday!$AO$3)</f>
        <v>12</v>
      </c>
      <c r="D51" s="9">
        <f>SUMIFS(BBDD!$F:$F,BBDD!$D:$D,Intraday!$B51,BBDD!$B:$B,Intraday!$AJ$3,BBDD!$C:$C,Intraday!$AO$3)</f>
        <v>660</v>
      </c>
      <c r="E51" s="24">
        <f>SUMIFS(BBDD!$J:$J,BBDD!$D:$D,Intraday!$B51,BBDD!$B:$B,Intraday!$AJ$3,BBDD!$C:$C,Intraday!$AO$3)</f>
        <v>8</v>
      </c>
      <c r="F51" s="24">
        <f>SUMIFS(BBDD!$L:$L,BBDD!$D:$D,Intraday!$B51,BBDD!$B:$B,Intraday!$AJ$3,BBDD!$C:$C,Intraday!$AO$3)</f>
        <v>9</v>
      </c>
      <c r="G51" s="12">
        <v>0.1</v>
      </c>
      <c r="H51" s="24">
        <f>SUMIFS(BBDD!$M:$M,BBDD!$D:$D,Intraday!$B51,BBDD!$B:$B,Intraday!$AJ$3,BBDD!$C:$C,Intraday!$AO$3)</f>
        <v>11</v>
      </c>
      <c r="I51" s="24">
        <f t="shared" si="0"/>
        <v>2</v>
      </c>
      <c r="J51" s="12">
        <f>SUMIFS(BBDD!$O:$O,BBDD!$D:$D,Intraday!$B51,BBDD!$B:$B,Intraday!$AJ$3,BBDD!$C:$C,Intraday!$AO$3)</f>
        <v>0.96819412708282471</v>
      </c>
      <c r="K51" s="12">
        <f>SUMIFS(BBDD!$P:$P,BBDD!$D:$D,Intraday!$B51,BBDD!$B:$B,Intraday!$AJ$3,BBDD!$C:$C,Intraday!$AO$3)</f>
        <v>1</v>
      </c>
      <c r="L51" s="12">
        <f>($C51/IF($D$2="Chat",3,1)*$D51)/SUMIFS(BBDD!$U:$U,BBDD!$D:$D,Intraday!$B51,BBDD!$B:$B,Intraday!$AJ$3,BBDD!$C:$C,Intraday!$AO$3)</f>
        <v>0.4</v>
      </c>
    </row>
    <row r="52" spans="2:12" x14ac:dyDescent="0.25">
      <c r="B52" s="25">
        <v>0.52083333333333337</v>
      </c>
      <c r="C52" s="15">
        <f>SUMIFS(BBDD!$E:$E,BBDD!$D:$D,Intraday!$B52,BBDD!$B:$B,Intraday!$AJ$3,BBDD!$C:$C,Intraday!$AO$3)</f>
        <v>7</v>
      </c>
      <c r="D52" s="8">
        <f>SUMIFS(BBDD!$F:$F,BBDD!$D:$D,Intraday!$B52,BBDD!$B:$B,Intraday!$AJ$3,BBDD!$C:$C,Intraday!$AO$3)</f>
        <v>660</v>
      </c>
      <c r="E52" s="15">
        <f>SUMIFS(BBDD!$J:$J,BBDD!$D:$D,Intraday!$B52,BBDD!$B:$B,Intraday!$AJ$3,BBDD!$C:$C,Intraday!$AO$3)</f>
        <v>5</v>
      </c>
      <c r="F52" s="15">
        <f>SUMIFS(BBDD!$L:$L,BBDD!$D:$D,Intraday!$B52,BBDD!$B:$B,Intraday!$AJ$3,BBDD!$C:$C,Intraday!$AO$3)</f>
        <v>6</v>
      </c>
      <c r="G52" s="11">
        <v>0.1</v>
      </c>
      <c r="H52" s="15">
        <f>SUMIFS(BBDD!$M:$M,BBDD!$D:$D,Intraday!$B52,BBDD!$B:$B,Intraday!$AJ$3,BBDD!$C:$C,Intraday!$AO$3)</f>
        <v>7.5</v>
      </c>
      <c r="I52" s="15">
        <f t="shared" si="0"/>
        <v>1.5</v>
      </c>
      <c r="J52" s="11">
        <f>SUMIFS(BBDD!$O:$O,BBDD!$D:$D,Intraday!$B52,BBDD!$B:$B,Intraday!$AJ$3,BBDD!$C:$C,Intraday!$AO$3)</f>
        <v>0.95676815509796143</v>
      </c>
      <c r="K52" s="11">
        <f>SUMIFS(BBDD!$P:$P,BBDD!$D:$D,Intraday!$B52,BBDD!$B:$B,Intraday!$AJ$3,BBDD!$C:$C,Intraday!$AO$3)</f>
        <v>1</v>
      </c>
      <c r="L52" s="11">
        <f>($C52/IF($D$2="Chat",3,1)*$D52)/SUMIFS(BBDD!$U:$U,BBDD!$D:$D,Intraday!$B52,BBDD!$B:$B,Intraday!$AJ$3,BBDD!$C:$C,Intraday!$AO$3)</f>
        <v>0.34222222222222221</v>
      </c>
    </row>
    <row r="53" spans="2:12" x14ac:dyDescent="0.25">
      <c r="B53" s="25">
        <v>0.54166666666666663</v>
      </c>
      <c r="C53" s="24">
        <f>SUMIFS(BBDD!$E:$E,BBDD!$D:$D,Intraday!$B53,BBDD!$B:$B,Intraday!$AJ$3,BBDD!$C:$C,Intraday!$AO$3)</f>
        <v>12</v>
      </c>
      <c r="D53" s="9">
        <f>SUMIFS(BBDD!$F:$F,BBDD!$D:$D,Intraday!$B53,BBDD!$B:$B,Intraday!$AJ$3,BBDD!$C:$C,Intraday!$AO$3)</f>
        <v>660</v>
      </c>
      <c r="E53" s="24">
        <f>SUMIFS(BBDD!$J:$J,BBDD!$D:$D,Intraday!$B53,BBDD!$B:$B,Intraday!$AJ$3,BBDD!$C:$C,Intraday!$AO$3)</f>
        <v>8</v>
      </c>
      <c r="F53" s="24">
        <f>SUMIFS(BBDD!$L:$L,BBDD!$D:$D,Intraday!$B53,BBDD!$B:$B,Intraday!$AJ$3,BBDD!$C:$C,Intraday!$AO$3)</f>
        <v>9</v>
      </c>
      <c r="G53" s="12">
        <v>0.1</v>
      </c>
      <c r="H53" s="24">
        <f>SUMIFS(BBDD!$M:$M,BBDD!$D:$D,Intraday!$B53,BBDD!$B:$B,Intraday!$AJ$3,BBDD!$C:$C,Intraday!$AO$3)</f>
        <v>13</v>
      </c>
      <c r="I53" s="24">
        <f t="shared" si="0"/>
        <v>4</v>
      </c>
      <c r="J53" s="12">
        <f>SUMIFS(BBDD!$O:$O,BBDD!$D:$D,Intraday!$B53,BBDD!$B:$B,Intraday!$AJ$3,BBDD!$C:$C,Intraday!$AO$3)</f>
        <v>0.99527251720428467</v>
      </c>
      <c r="K53" s="12">
        <f>SUMIFS(BBDD!$P:$P,BBDD!$D:$D,Intraday!$B53,BBDD!$B:$B,Intraday!$AJ$3,BBDD!$C:$C,Intraday!$AO$3)</f>
        <v>1</v>
      </c>
      <c r="L53" s="12">
        <f>($C53/IF($D$2="Chat",3,1)*$D53)/SUMIFS(BBDD!$U:$U,BBDD!$D:$D,Intraday!$B53,BBDD!$B:$B,Intraday!$AJ$3,BBDD!$C:$C,Intraday!$AO$3)</f>
        <v>0.33846153846153848</v>
      </c>
    </row>
    <row r="54" spans="2:12" x14ac:dyDescent="0.25">
      <c r="B54" s="25">
        <v>0.5625</v>
      </c>
      <c r="C54" s="15">
        <f>SUMIFS(BBDD!$E:$E,BBDD!$D:$D,Intraday!$B54,BBDD!$B:$B,Intraday!$AJ$3,BBDD!$C:$C,Intraday!$AO$3)</f>
        <v>10</v>
      </c>
      <c r="D54" s="8">
        <f>SUMIFS(BBDD!$F:$F,BBDD!$D:$D,Intraday!$B54,BBDD!$B:$B,Intraday!$AJ$3,BBDD!$C:$C,Intraday!$AO$3)</f>
        <v>660</v>
      </c>
      <c r="E54" s="15">
        <f>SUMIFS(BBDD!$J:$J,BBDD!$D:$D,Intraday!$B54,BBDD!$B:$B,Intraday!$AJ$3,BBDD!$C:$C,Intraday!$AO$3)</f>
        <v>7</v>
      </c>
      <c r="F54" s="15">
        <f>SUMIFS(BBDD!$L:$L,BBDD!$D:$D,Intraday!$B54,BBDD!$B:$B,Intraday!$AJ$3,BBDD!$C:$C,Intraday!$AO$3)</f>
        <v>8</v>
      </c>
      <c r="G54" s="11">
        <v>0.1</v>
      </c>
      <c r="H54" s="15">
        <f>SUMIFS(BBDD!$M:$M,BBDD!$D:$D,Intraday!$B54,BBDD!$B:$B,Intraday!$AJ$3,BBDD!$C:$C,Intraday!$AO$3)</f>
        <v>15</v>
      </c>
      <c r="I54" s="15">
        <f t="shared" si="0"/>
        <v>7</v>
      </c>
      <c r="J54" s="11">
        <f>SUMIFS(BBDD!$O:$O,BBDD!$D:$D,Intraday!$B54,BBDD!$B:$B,Intraday!$AJ$3,BBDD!$C:$C,Intraday!$AO$3)</f>
        <v>0.99990940093994141</v>
      </c>
      <c r="K54" s="11">
        <f>SUMIFS(BBDD!$P:$P,BBDD!$D:$D,Intraday!$B54,BBDD!$B:$B,Intraday!$AJ$3,BBDD!$C:$C,Intraday!$AO$3)</f>
        <v>1</v>
      </c>
      <c r="L54" s="11">
        <f>($C54/IF($D$2="Chat",3,1)*$D54)/SUMIFS(BBDD!$U:$U,BBDD!$D:$D,Intraday!$B54,BBDD!$B:$B,Intraday!$AJ$3,BBDD!$C:$C,Intraday!$AO$3)</f>
        <v>0.24444444444444444</v>
      </c>
    </row>
    <row r="55" spans="2:12" x14ac:dyDescent="0.25">
      <c r="B55" s="25">
        <v>0.58333333333333337</v>
      </c>
      <c r="C55" s="24">
        <f>SUMIFS(BBDD!$E:$E,BBDD!$D:$D,Intraday!$B55,BBDD!$B:$B,Intraday!$AJ$3,BBDD!$C:$C,Intraday!$AO$3)</f>
        <v>21</v>
      </c>
      <c r="D55" s="9">
        <f>SUMIFS(BBDD!$F:$F,BBDD!$D:$D,Intraday!$B55,BBDD!$B:$B,Intraday!$AJ$3,BBDD!$C:$C,Intraday!$AO$3)</f>
        <v>660</v>
      </c>
      <c r="E55" s="24">
        <f>SUMIFS(BBDD!$J:$J,BBDD!$D:$D,Intraday!$B55,BBDD!$B:$B,Intraday!$AJ$3,BBDD!$C:$C,Intraday!$AO$3)</f>
        <v>12</v>
      </c>
      <c r="F55" s="24">
        <f>SUMIFS(BBDD!$L:$L,BBDD!$D:$D,Intraday!$B55,BBDD!$B:$B,Intraday!$AJ$3,BBDD!$C:$C,Intraday!$AO$3)</f>
        <v>14</v>
      </c>
      <c r="G55" s="12">
        <v>0.1</v>
      </c>
      <c r="H55" s="24">
        <f>SUMIFS(BBDD!$M:$M,BBDD!$D:$D,Intraday!$B55,BBDD!$B:$B,Intraday!$AJ$3,BBDD!$C:$C,Intraday!$AO$3)</f>
        <v>14</v>
      </c>
      <c r="I55" s="24">
        <f t="shared" si="0"/>
        <v>0</v>
      </c>
      <c r="J55" s="12">
        <f>SUMIFS(BBDD!$O:$O,BBDD!$D:$D,Intraday!$B55,BBDD!$B:$B,Intraday!$AJ$3,BBDD!$C:$C,Intraday!$AO$3)</f>
        <v>0.91023868322372437</v>
      </c>
      <c r="K55" s="12">
        <f>SUMIFS(BBDD!$P:$P,BBDD!$D:$D,Intraday!$B55,BBDD!$B:$B,Intraday!$AJ$3,BBDD!$C:$C,Intraday!$AO$3)</f>
        <v>1</v>
      </c>
      <c r="L55" s="12">
        <f>($C55/IF($D$2="Chat",3,1)*$D55)/SUMIFS(BBDD!$U:$U,BBDD!$D:$D,Intraday!$B55,BBDD!$B:$B,Intraday!$AJ$3,BBDD!$C:$C,Intraday!$AO$3)</f>
        <v>0.55000000000000004</v>
      </c>
    </row>
    <row r="56" spans="2:12" x14ac:dyDescent="0.25">
      <c r="B56" s="25">
        <v>0.60416666666666663</v>
      </c>
      <c r="C56" s="15">
        <f>SUMIFS(BBDD!$E:$E,BBDD!$D:$D,Intraday!$B56,BBDD!$B:$B,Intraday!$AJ$3,BBDD!$C:$C,Intraday!$AO$3)</f>
        <v>15</v>
      </c>
      <c r="D56" s="8">
        <f>SUMIFS(BBDD!$F:$F,BBDD!$D:$D,Intraday!$B56,BBDD!$B:$B,Intraday!$AJ$3,BBDD!$C:$C,Intraday!$AO$3)</f>
        <v>660</v>
      </c>
      <c r="E56" s="15">
        <f>SUMIFS(BBDD!$J:$J,BBDD!$D:$D,Intraday!$B56,BBDD!$B:$B,Intraday!$AJ$3,BBDD!$C:$C,Intraday!$AO$3)</f>
        <v>9</v>
      </c>
      <c r="F56" s="15">
        <f>SUMIFS(BBDD!$L:$L,BBDD!$D:$D,Intraday!$B56,BBDD!$B:$B,Intraday!$AJ$3,BBDD!$C:$C,Intraday!$AO$3)</f>
        <v>10</v>
      </c>
      <c r="G56" s="11">
        <v>0.1</v>
      </c>
      <c r="H56" s="15">
        <f>SUMIFS(BBDD!$M:$M,BBDD!$D:$D,Intraday!$B56,BBDD!$B:$B,Intraday!$AJ$3,BBDD!$C:$C,Intraday!$AO$3)</f>
        <v>14.5</v>
      </c>
      <c r="I56" s="15">
        <f t="shared" si="0"/>
        <v>4.5</v>
      </c>
      <c r="J56" s="11">
        <f>SUMIFS(BBDD!$O:$O,BBDD!$D:$D,Intraday!$B56,BBDD!$B:$B,Intraday!$AJ$3,BBDD!$C:$C,Intraday!$AO$3)</f>
        <v>0.99619835615158081</v>
      </c>
      <c r="K56" s="11">
        <f>SUMIFS(BBDD!$P:$P,BBDD!$D:$D,Intraday!$B56,BBDD!$B:$B,Intraday!$AJ$3,BBDD!$C:$C,Intraday!$AO$3)</f>
        <v>1</v>
      </c>
      <c r="L56" s="11">
        <f>($C56/IF($D$2="Chat",3,1)*$D56)/SUMIFS(BBDD!$U:$U,BBDD!$D:$D,Intraday!$B56,BBDD!$B:$B,Intraday!$AJ$3,BBDD!$C:$C,Intraday!$AO$3)</f>
        <v>0.37931034482758619</v>
      </c>
    </row>
    <row r="57" spans="2:12" x14ac:dyDescent="0.25">
      <c r="B57" s="25">
        <v>0.625</v>
      </c>
      <c r="C57" s="24">
        <f>SUMIFS(BBDD!$E:$E,BBDD!$D:$D,Intraday!$B57,BBDD!$B:$B,Intraday!$AJ$3,BBDD!$C:$C,Intraday!$AO$3)</f>
        <v>21</v>
      </c>
      <c r="D57" s="9">
        <f>SUMIFS(BBDD!$F:$F,BBDD!$D:$D,Intraday!$B57,BBDD!$B:$B,Intraday!$AJ$3,BBDD!$C:$C,Intraday!$AO$3)</f>
        <v>660</v>
      </c>
      <c r="E57" s="24">
        <f>SUMIFS(BBDD!$J:$J,BBDD!$D:$D,Intraday!$B57,BBDD!$B:$B,Intraday!$AJ$3,BBDD!$C:$C,Intraday!$AO$3)</f>
        <v>12</v>
      </c>
      <c r="F57" s="24">
        <f>SUMIFS(BBDD!$L:$L,BBDD!$D:$D,Intraday!$B57,BBDD!$B:$B,Intraday!$AJ$3,BBDD!$C:$C,Intraday!$AO$3)</f>
        <v>14</v>
      </c>
      <c r="G57" s="12">
        <v>0.1</v>
      </c>
      <c r="H57" s="24">
        <f>SUMIFS(BBDD!$M:$M,BBDD!$D:$D,Intraday!$B57,BBDD!$B:$B,Intraday!$AJ$3,BBDD!$C:$C,Intraday!$AO$3)</f>
        <v>17.5</v>
      </c>
      <c r="I57" s="24">
        <f t="shared" si="0"/>
        <v>3.5</v>
      </c>
      <c r="J57" s="12">
        <f>SUMIFS(BBDD!$O:$O,BBDD!$D:$D,Intraday!$B57,BBDD!$B:$B,Intraday!$AJ$3,BBDD!$C:$C,Intraday!$AO$3)</f>
        <v>0.98947972059249878</v>
      </c>
      <c r="K57" s="12">
        <f>SUMIFS(BBDD!$P:$P,BBDD!$D:$D,Intraday!$B57,BBDD!$B:$B,Intraday!$AJ$3,BBDD!$C:$C,Intraday!$AO$3)</f>
        <v>1</v>
      </c>
      <c r="L57" s="12">
        <f>($C57/IF($D$2="Chat",3,1)*$D57)/SUMIFS(BBDD!$U:$U,BBDD!$D:$D,Intraday!$B57,BBDD!$B:$B,Intraday!$AJ$3,BBDD!$C:$C,Intraday!$AO$3)</f>
        <v>0.44</v>
      </c>
    </row>
    <row r="58" spans="2:12" x14ac:dyDescent="0.25">
      <c r="B58" s="25">
        <v>0.64583333333333337</v>
      </c>
      <c r="C58" s="15">
        <f>SUMIFS(BBDD!$E:$E,BBDD!$D:$D,Intraday!$B58,BBDD!$B:$B,Intraday!$AJ$3,BBDD!$C:$C,Intraday!$AO$3)</f>
        <v>14</v>
      </c>
      <c r="D58" s="8">
        <f>SUMIFS(BBDD!$F:$F,BBDD!$D:$D,Intraday!$B58,BBDD!$B:$B,Intraday!$AJ$3,BBDD!$C:$C,Intraday!$AO$3)</f>
        <v>660</v>
      </c>
      <c r="E58" s="15">
        <f>SUMIFS(BBDD!$J:$J,BBDD!$D:$D,Intraday!$B58,BBDD!$B:$B,Intraday!$AJ$3,BBDD!$C:$C,Intraday!$AO$3)</f>
        <v>9</v>
      </c>
      <c r="F58" s="15">
        <f>SUMIFS(BBDD!$L:$L,BBDD!$D:$D,Intraday!$B58,BBDD!$B:$B,Intraday!$AJ$3,BBDD!$C:$C,Intraday!$AO$3)</f>
        <v>10</v>
      </c>
      <c r="G58" s="11">
        <v>0.1</v>
      </c>
      <c r="H58" s="15">
        <f>SUMIFS(BBDD!$M:$M,BBDD!$D:$D,Intraday!$B58,BBDD!$B:$B,Intraday!$AJ$3,BBDD!$C:$C,Intraday!$AO$3)</f>
        <v>19</v>
      </c>
      <c r="I58" s="15">
        <f t="shared" si="0"/>
        <v>9</v>
      </c>
      <c r="J58" s="11">
        <f>SUMIFS(BBDD!$O:$O,BBDD!$D:$D,Intraday!$B58,BBDD!$B:$B,Intraday!$AJ$3,BBDD!$C:$C,Intraday!$AO$3)</f>
        <v>0.99998033046722412</v>
      </c>
      <c r="K58" s="11">
        <f>SUMIFS(BBDD!$P:$P,BBDD!$D:$D,Intraday!$B58,BBDD!$B:$B,Intraday!$AJ$3,BBDD!$C:$C,Intraday!$AO$3)</f>
        <v>1</v>
      </c>
      <c r="L58" s="11">
        <f>($C58/IF($D$2="Chat",3,1)*$D58)/SUMIFS(BBDD!$U:$U,BBDD!$D:$D,Intraday!$B58,BBDD!$B:$B,Intraday!$AJ$3,BBDD!$C:$C,Intraday!$AO$3)</f>
        <v>0.27017543859649124</v>
      </c>
    </row>
    <row r="59" spans="2:12" x14ac:dyDescent="0.25">
      <c r="B59" s="25">
        <v>0.66666666666666663</v>
      </c>
      <c r="C59" s="24">
        <f>SUMIFS(BBDD!$E:$E,BBDD!$D:$D,Intraday!$B59,BBDD!$B:$B,Intraday!$AJ$3,BBDD!$C:$C,Intraday!$AO$3)</f>
        <v>23</v>
      </c>
      <c r="D59" s="9">
        <f>SUMIFS(BBDD!$F:$F,BBDD!$D:$D,Intraday!$B59,BBDD!$B:$B,Intraday!$AJ$3,BBDD!$C:$C,Intraday!$AO$3)</f>
        <v>660</v>
      </c>
      <c r="E59" s="24">
        <f>SUMIFS(BBDD!$J:$J,BBDD!$D:$D,Intraday!$B59,BBDD!$B:$B,Intraday!$AJ$3,BBDD!$C:$C,Intraday!$AO$3)</f>
        <v>13</v>
      </c>
      <c r="F59" s="24">
        <f>SUMIFS(BBDD!$L:$L,BBDD!$D:$D,Intraday!$B59,BBDD!$B:$B,Intraday!$AJ$3,BBDD!$C:$C,Intraday!$AO$3)</f>
        <v>15</v>
      </c>
      <c r="G59" s="12">
        <v>0.1</v>
      </c>
      <c r="H59" s="24">
        <f>SUMIFS(BBDD!$M:$M,BBDD!$D:$D,Intraday!$B59,BBDD!$B:$B,Intraday!$AJ$3,BBDD!$C:$C,Intraday!$AO$3)</f>
        <v>17</v>
      </c>
      <c r="I59" s="24">
        <f t="shared" si="0"/>
        <v>2</v>
      </c>
      <c r="J59" s="12">
        <f>SUMIFS(BBDD!$O:$O,BBDD!$D:$D,Intraday!$B59,BBDD!$B:$B,Intraday!$AJ$3,BBDD!$C:$C,Intraday!$AO$3)</f>
        <v>0.97670537233352661</v>
      </c>
      <c r="K59" s="12">
        <f>SUMIFS(BBDD!$P:$P,BBDD!$D:$D,Intraday!$B59,BBDD!$B:$B,Intraday!$AJ$3,BBDD!$C:$C,Intraday!$AO$3)</f>
        <v>1</v>
      </c>
      <c r="L59" s="12">
        <f>($C59/IF($D$2="Chat",3,1)*$D59)/SUMIFS(BBDD!$U:$U,BBDD!$D:$D,Intraday!$B59,BBDD!$B:$B,Intraday!$AJ$3,BBDD!$C:$C,Intraday!$AO$3)</f>
        <v>0.49607843137254903</v>
      </c>
    </row>
    <row r="60" spans="2:12" x14ac:dyDescent="0.25">
      <c r="B60" s="25">
        <v>0.6875</v>
      </c>
      <c r="C60" s="15">
        <f>SUMIFS(BBDD!$E:$E,BBDD!$D:$D,Intraday!$B60,BBDD!$B:$B,Intraday!$AJ$3,BBDD!$C:$C,Intraday!$AO$3)</f>
        <v>22</v>
      </c>
      <c r="D60" s="8">
        <f>SUMIFS(BBDD!$F:$F,BBDD!$D:$D,Intraday!$B60,BBDD!$B:$B,Intraday!$AJ$3,BBDD!$C:$C,Intraday!$AO$3)</f>
        <v>660</v>
      </c>
      <c r="E60" s="15">
        <f>SUMIFS(BBDD!$J:$J,BBDD!$D:$D,Intraday!$B60,BBDD!$B:$B,Intraday!$AJ$3,BBDD!$C:$C,Intraday!$AO$3)</f>
        <v>12</v>
      </c>
      <c r="F60" s="15">
        <f>SUMIFS(BBDD!$L:$L,BBDD!$D:$D,Intraday!$B60,BBDD!$B:$B,Intraday!$AJ$3,BBDD!$C:$C,Intraday!$AO$3)</f>
        <v>14</v>
      </c>
      <c r="G60" s="11">
        <v>0.1</v>
      </c>
      <c r="H60" s="15">
        <f>SUMIFS(BBDD!$M:$M,BBDD!$D:$D,Intraday!$B60,BBDD!$B:$B,Intraday!$AJ$3,BBDD!$C:$C,Intraday!$AO$3)</f>
        <v>17</v>
      </c>
      <c r="I60" s="15">
        <f t="shared" si="0"/>
        <v>3</v>
      </c>
      <c r="J60" s="11">
        <f>SUMIFS(BBDD!$O:$O,BBDD!$D:$D,Intraday!$B60,BBDD!$B:$B,Intraday!$AJ$3,BBDD!$C:$C,Intraday!$AO$3)</f>
        <v>0.98378282785415649</v>
      </c>
      <c r="K60" s="11">
        <f>SUMIFS(BBDD!$P:$P,BBDD!$D:$D,Intraday!$B60,BBDD!$B:$B,Intraday!$AJ$3,BBDD!$C:$C,Intraday!$AO$3)</f>
        <v>1</v>
      </c>
      <c r="L60" s="11">
        <f>($C60/IF($D$2="Chat",3,1)*$D60)/SUMIFS(BBDD!$U:$U,BBDD!$D:$D,Intraday!$B60,BBDD!$B:$B,Intraday!$AJ$3,BBDD!$C:$C,Intraday!$AO$3)</f>
        <v>0.47450980392156861</v>
      </c>
    </row>
    <row r="61" spans="2:12" x14ac:dyDescent="0.25">
      <c r="B61" s="25">
        <v>0.70833333333333337</v>
      </c>
      <c r="C61" s="24">
        <f>SUMIFS(BBDD!$E:$E,BBDD!$D:$D,Intraday!$B61,BBDD!$B:$B,Intraday!$AJ$3,BBDD!$C:$C,Intraday!$AO$3)</f>
        <v>14</v>
      </c>
      <c r="D61" s="9">
        <f>SUMIFS(BBDD!$F:$F,BBDD!$D:$D,Intraday!$B61,BBDD!$B:$B,Intraday!$AJ$3,BBDD!$C:$C,Intraday!$AO$3)</f>
        <v>660</v>
      </c>
      <c r="E61" s="24">
        <f>SUMIFS(BBDD!$J:$J,BBDD!$D:$D,Intraday!$B61,BBDD!$B:$B,Intraday!$AJ$3,BBDD!$C:$C,Intraday!$AO$3)</f>
        <v>9</v>
      </c>
      <c r="F61" s="24">
        <f>SUMIFS(BBDD!$L:$L,BBDD!$D:$D,Intraday!$B61,BBDD!$B:$B,Intraday!$AJ$3,BBDD!$C:$C,Intraday!$AO$3)</f>
        <v>10</v>
      </c>
      <c r="G61" s="12">
        <v>0.1</v>
      </c>
      <c r="H61" s="24">
        <f>SUMIFS(BBDD!$M:$M,BBDD!$D:$D,Intraday!$B61,BBDD!$B:$B,Intraday!$AJ$3,BBDD!$C:$C,Intraday!$AO$3)</f>
        <v>7.5</v>
      </c>
      <c r="I61" s="24">
        <f t="shared" si="0"/>
        <v>-2.5</v>
      </c>
      <c r="J61" s="12">
        <f>SUMIFS(BBDD!$O:$O,BBDD!$D:$D,Intraday!$B61,BBDD!$B:$B,Intraday!$AJ$3,BBDD!$C:$C,Intraday!$AO$3)</f>
        <v>0.51095938682556152</v>
      </c>
      <c r="K61" s="12">
        <f>SUMIFS(BBDD!$P:$P,BBDD!$D:$D,Intraday!$B61,BBDD!$B:$B,Intraday!$AJ$3,BBDD!$C:$C,Intraday!$AO$3)</f>
        <v>1</v>
      </c>
      <c r="L61" s="12">
        <f>($C61/IF($D$2="Chat",3,1)*$D61)/SUMIFS(BBDD!$U:$U,BBDD!$D:$D,Intraday!$B61,BBDD!$B:$B,Intraday!$AJ$3,BBDD!$C:$C,Intraday!$AO$3)</f>
        <v>0.68444444444444441</v>
      </c>
    </row>
    <row r="62" spans="2:12" x14ac:dyDescent="0.25">
      <c r="B62" s="25">
        <v>0.72916666666666663</v>
      </c>
      <c r="C62" s="15">
        <f>SUMIFS(BBDD!$E:$E,BBDD!$D:$D,Intraday!$B62,BBDD!$B:$B,Intraday!$AJ$3,BBDD!$C:$C,Intraday!$AO$3)</f>
        <v>16</v>
      </c>
      <c r="D62" s="8">
        <f>SUMIFS(BBDD!$F:$F,BBDD!$D:$D,Intraday!$B62,BBDD!$B:$B,Intraday!$AJ$3,BBDD!$C:$C,Intraday!$AO$3)</f>
        <v>660</v>
      </c>
      <c r="E62" s="15">
        <f>SUMIFS(BBDD!$J:$J,BBDD!$D:$D,Intraday!$B62,BBDD!$B:$B,Intraday!$AJ$3,BBDD!$C:$C,Intraday!$AO$3)</f>
        <v>10</v>
      </c>
      <c r="F62" s="15">
        <f>SUMIFS(BBDD!$L:$L,BBDD!$D:$D,Intraday!$B62,BBDD!$B:$B,Intraday!$AJ$3,BBDD!$C:$C,Intraday!$AO$3)</f>
        <v>12</v>
      </c>
      <c r="G62" s="11">
        <v>0.1</v>
      </c>
      <c r="H62" s="15">
        <f>SUMIFS(BBDD!$M:$M,BBDD!$D:$D,Intraday!$B62,BBDD!$B:$B,Intraday!$AJ$3,BBDD!$C:$C,Intraday!$AO$3)</f>
        <v>7.5</v>
      </c>
      <c r="I62" s="15">
        <f t="shared" si="0"/>
        <v>-4.5</v>
      </c>
      <c r="J62" s="11">
        <f>SUMIFS(BBDD!$O:$O,BBDD!$D:$D,Intraday!$B62,BBDD!$B:$B,Intraday!$AJ$3,BBDD!$C:$C,Intraday!$AO$3)</f>
        <v>0.29517462849617004</v>
      </c>
      <c r="K62" s="11">
        <f>SUMIFS(BBDD!$P:$P,BBDD!$D:$D,Intraday!$B62,BBDD!$B:$B,Intraday!$AJ$3,BBDD!$C:$C,Intraday!$AO$3)</f>
        <v>1</v>
      </c>
      <c r="L62" s="11">
        <f>($C62/IF($D$2="Chat",3,1)*$D62)/SUMIFS(BBDD!$U:$U,BBDD!$D:$D,Intraday!$B62,BBDD!$B:$B,Intraday!$AJ$3,BBDD!$C:$C,Intraday!$AO$3)</f>
        <v>0.78222222222222226</v>
      </c>
    </row>
    <row r="63" spans="2:12" x14ac:dyDescent="0.25">
      <c r="B63" s="25">
        <v>0.75</v>
      </c>
      <c r="C63" s="24">
        <f>SUMIFS(BBDD!$E:$E,BBDD!$D:$D,Intraday!$B63,BBDD!$B:$B,Intraday!$AJ$3,BBDD!$C:$C,Intraday!$AO$3)</f>
        <v>7</v>
      </c>
      <c r="D63" s="9">
        <f>SUMIFS(BBDD!$F:$F,BBDD!$D:$D,Intraday!$B63,BBDD!$B:$B,Intraday!$AJ$3,BBDD!$C:$C,Intraday!$AO$3)</f>
        <v>660</v>
      </c>
      <c r="E63" s="24">
        <f>SUMIFS(BBDD!$J:$J,BBDD!$D:$D,Intraday!$B63,BBDD!$B:$B,Intraday!$AJ$3,BBDD!$C:$C,Intraday!$AO$3)</f>
        <v>5</v>
      </c>
      <c r="F63" s="24">
        <f>SUMIFS(BBDD!$L:$L,BBDD!$D:$D,Intraday!$B63,BBDD!$B:$B,Intraday!$AJ$3,BBDD!$C:$C,Intraday!$AO$3)</f>
        <v>6</v>
      </c>
      <c r="G63" s="12">
        <v>0.1</v>
      </c>
      <c r="H63" s="24">
        <f>SUMIFS(BBDD!$M:$M,BBDD!$D:$D,Intraday!$B63,BBDD!$B:$B,Intraday!$AJ$3,BBDD!$C:$C,Intraday!$AO$3)</f>
        <v>5</v>
      </c>
      <c r="I63" s="24">
        <f t="shared" si="0"/>
        <v>-1</v>
      </c>
      <c r="J63" s="12">
        <f>SUMIFS(BBDD!$O:$O,BBDD!$D:$D,Intraday!$B63,BBDD!$B:$B,Intraday!$AJ$3,BBDD!$C:$C,Intraday!$AO$3)</f>
        <v>0.71417397260665894</v>
      </c>
      <c r="K63" s="12">
        <f>SUMIFS(BBDD!$P:$P,BBDD!$D:$D,Intraday!$B63,BBDD!$B:$B,Intraday!$AJ$3,BBDD!$C:$C,Intraday!$AO$3)</f>
        <v>1</v>
      </c>
      <c r="L63" s="12">
        <f>($C63/IF($D$2="Chat",3,1)*$D63)/SUMIFS(BBDD!$U:$U,BBDD!$D:$D,Intraday!$B63,BBDD!$B:$B,Intraday!$AJ$3,BBDD!$C:$C,Intraday!$AO$3)</f>
        <v>0.51333333333333331</v>
      </c>
    </row>
    <row r="64" spans="2:12" x14ac:dyDescent="0.25">
      <c r="B64" s="25">
        <v>0.77083333333333337</v>
      </c>
      <c r="C64" s="15">
        <f>SUMIFS(BBDD!$E:$E,BBDD!$D:$D,Intraday!$B64,BBDD!$B:$B,Intraday!$AJ$3,BBDD!$C:$C,Intraday!$AO$3)</f>
        <v>3</v>
      </c>
      <c r="D64" s="8">
        <f>SUMIFS(BBDD!$F:$F,BBDD!$D:$D,Intraday!$B64,BBDD!$B:$B,Intraday!$AJ$3,BBDD!$C:$C,Intraday!$AO$3)</f>
        <v>660</v>
      </c>
      <c r="E64" s="15">
        <f>SUMIFS(BBDD!$J:$J,BBDD!$D:$D,Intraday!$B64,BBDD!$B:$B,Intraday!$AJ$3,BBDD!$C:$C,Intraday!$AO$3)</f>
        <v>3</v>
      </c>
      <c r="F64" s="15">
        <f>SUMIFS(BBDD!$L:$L,BBDD!$D:$D,Intraday!$B64,BBDD!$B:$B,Intraday!$AJ$3,BBDD!$C:$C,Intraday!$AO$3)</f>
        <v>4</v>
      </c>
      <c r="G64" s="11">
        <v>0.1</v>
      </c>
      <c r="H64" s="15">
        <f>SUMIFS(BBDD!$M:$M,BBDD!$D:$D,Intraday!$B64,BBDD!$B:$B,Intraday!$AJ$3,BBDD!$C:$C,Intraday!$AO$3)</f>
        <v>6</v>
      </c>
      <c r="I64" s="15">
        <f t="shared" si="0"/>
        <v>2</v>
      </c>
      <c r="J64" s="11">
        <f>SUMIFS(BBDD!$O:$O,BBDD!$D:$D,Intraday!$B64,BBDD!$B:$B,Intraday!$AJ$3,BBDD!$C:$C,Intraday!$AO$3)</f>
        <v>0.99507600069046021</v>
      </c>
      <c r="K64" s="11">
        <f>SUMIFS(BBDD!$P:$P,BBDD!$D:$D,Intraday!$B64,BBDD!$B:$B,Intraday!$AJ$3,BBDD!$C:$C,Intraday!$AO$3)</f>
        <v>1</v>
      </c>
      <c r="L64" s="11">
        <f>($C64/IF($D$2="Chat",3,1)*$D64)/SUMIFS(BBDD!$U:$U,BBDD!$D:$D,Intraday!$B64,BBDD!$B:$B,Intraday!$AJ$3,BBDD!$C:$C,Intraday!$AO$3)</f>
        <v>0.18333333333333332</v>
      </c>
    </row>
    <row r="65" spans="2:12" x14ac:dyDescent="0.25">
      <c r="B65" s="25">
        <v>0.79166666666666663</v>
      </c>
      <c r="C65" s="24">
        <f>SUMIFS(BBDD!$E:$E,BBDD!$D:$D,Intraday!$B65,BBDD!$B:$B,Intraday!$AJ$3,BBDD!$C:$C,Intraday!$AO$3)</f>
        <v>3</v>
      </c>
      <c r="D65" s="9">
        <f>SUMIFS(BBDD!$F:$F,BBDD!$D:$D,Intraday!$B65,BBDD!$B:$B,Intraday!$AJ$3,BBDD!$C:$C,Intraday!$AO$3)</f>
        <v>660</v>
      </c>
      <c r="E65" s="24">
        <f>SUMIFS(BBDD!$J:$J,BBDD!$D:$D,Intraday!$B65,BBDD!$B:$B,Intraday!$AJ$3,BBDD!$C:$C,Intraday!$AO$3)</f>
        <v>3</v>
      </c>
      <c r="F65" s="24">
        <f>SUMIFS(BBDD!$L:$L,BBDD!$D:$D,Intraday!$B65,BBDD!$B:$B,Intraday!$AJ$3,BBDD!$C:$C,Intraday!$AO$3)</f>
        <v>4</v>
      </c>
      <c r="G65" s="12">
        <v>0.1</v>
      </c>
      <c r="H65" s="24">
        <f>SUMIFS(BBDD!$M:$M,BBDD!$D:$D,Intraday!$B65,BBDD!$B:$B,Intraday!$AJ$3,BBDD!$C:$C,Intraday!$AO$3)</f>
        <v>3</v>
      </c>
      <c r="I65" s="24">
        <f t="shared" si="0"/>
        <v>-1</v>
      </c>
      <c r="J65" s="12">
        <f>SUMIFS(BBDD!$O:$O,BBDD!$D:$D,Intraday!$B65,BBDD!$B:$B,Intraday!$AJ$3,BBDD!$C:$C,Intraday!$AO$3)</f>
        <v>0.68835699558258057</v>
      </c>
      <c r="K65" s="12">
        <f>SUMIFS(BBDD!$P:$P,BBDD!$D:$D,Intraday!$B65,BBDD!$B:$B,Intraday!$AJ$3,BBDD!$C:$C,Intraday!$AO$3)</f>
        <v>1</v>
      </c>
      <c r="L65" s="12">
        <f>($C65/IF($D$2="Chat",3,1)*$D65)/SUMIFS(BBDD!$U:$U,BBDD!$D:$D,Intraday!$B65,BBDD!$B:$B,Intraday!$AJ$3,BBDD!$C:$C,Intraday!$AO$3)</f>
        <v>0.36666666666666664</v>
      </c>
    </row>
    <row r="66" spans="2:12" x14ac:dyDescent="0.25">
      <c r="B66" s="25">
        <v>0.8125</v>
      </c>
      <c r="C66" s="15">
        <f>SUMIFS(BBDD!$E:$E,BBDD!$D:$D,Intraday!$B66,BBDD!$B:$B,Intraday!$AJ$3,BBDD!$C:$C,Intraday!$AO$3)</f>
        <v>3</v>
      </c>
      <c r="D66" s="8">
        <f>SUMIFS(BBDD!$F:$F,BBDD!$D:$D,Intraday!$B66,BBDD!$B:$B,Intraday!$AJ$3,BBDD!$C:$C,Intraday!$AO$3)</f>
        <v>660</v>
      </c>
      <c r="E66" s="15">
        <f>SUMIFS(BBDD!$J:$J,BBDD!$D:$D,Intraday!$B66,BBDD!$B:$B,Intraday!$AJ$3,BBDD!$C:$C,Intraday!$AO$3)</f>
        <v>3</v>
      </c>
      <c r="F66" s="15">
        <f>SUMIFS(BBDD!$L:$L,BBDD!$D:$D,Intraday!$B66,BBDD!$B:$B,Intraday!$AJ$3,BBDD!$C:$C,Intraday!$AO$3)</f>
        <v>4</v>
      </c>
      <c r="G66" s="11">
        <v>0.1</v>
      </c>
      <c r="H66" s="15">
        <f>SUMIFS(BBDD!$M:$M,BBDD!$D:$D,Intraday!$B66,BBDD!$B:$B,Intraday!$AJ$3,BBDD!$C:$C,Intraday!$AO$3)</f>
        <v>3</v>
      </c>
      <c r="I66" s="15">
        <f t="shared" si="0"/>
        <v>-1</v>
      </c>
      <c r="J66" s="11">
        <f>SUMIFS(BBDD!$O:$O,BBDD!$D:$D,Intraday!$B66,BBDD!$B:$B,Intraday!$AJ$3,BBDD!$C:$C,Intraday!$AO$3)</f>
        <v>0.68835699558258057</v>
      </c>
      <c r="K66" s="11">
        <f>SUMIFS(BBDD!$P:$P,BBDD!$D:$D,Intraday!$B66,BBDD!$B:$B,Intraday!$AJ$3,BBDD!$C:$C,Intraday!$AO$3)</f>
        <v>1</v>
      </c>
      <c r="L66" s="11">
        <f>($C66/IF($D$2="Chat",3,1)*$D66)/SUMIFS(BBDD!$U:$U,BBDD!$D:$D,Intraday!$B66,BBDD!$B:$B,Intraday!$AJ$3,BBDD!$C:$C,Intraday!$AO$3)</f>
        <v>0.36666666666666664</v>
      </c>
    </row>
    <row r="67" spans="2:12" x14ac:dyDescent="0.25">
      <c r="B67" s="25">
        <v>0.83333333333333337</v>
      </c>
      <c r="C67" s="24">
        <f>SUMIFS(BBDD!$E:$E,BBDD!$D:$D,Intraday!$B67,BBDD!$B:$B,Intraday!$AJ$3,BBDD!$C:$C,Intraday!$AO$3)</f>
        <v>1</v>
      </c>
      <c r="D67" s="9">
        <f>SUMIFS(BBDD!$F:$F,BBDD!$D:$D,Intraday!$B67,BBDD!$B:$B,Intraday!$AJ$3,BBDD!$C:$C,Intraday!$AO$3)</f>
        <v>660</v>
      </c>
      <c r="E67" s="24">
        <f>SUMIFS(BBDD!$J:$J,BBDD!$D:$D,Intraday!$B67,BBDD!$B:$B,Intraday!$AJ$3,BBDD!$C:$C,Intraday!$AO$3)</f>
        <v>2</v>
      </c>
      <c r="F67" s="24">
        <f>SUMIFS(BBDD!$L:$L,BBDD!$D:$D,Intraday!$B67,BBDD!$B:$B,Intraday!$AJ$3,BBDD!$C:$C,Intraday!$AO$3)</f>
        <v>3</v>
      </c>
      <c r="G67" s="12">
        <v>0.1</v>
      </c>
      <c r="H67" s="24">
        <f>SUMIFS(BBDD!$M:$M,BBDD!$D:$D,Intraday!$B67,BBDD!$B:$B,Intraday!$AJ$3,BBDD!$C:$C,Intraday!$AO$3)</f>
        <v>1.5</v>
      </c>
      <c r="I67" s="24">
        <f t="shared" si="0"/>
        <v>-1.5</v>
      </c>
      <c r="J67" s="12">
        <f>SUMIFS(BBDD!$O:$O,BBDD!$D:$D,Intraday!$B67,BBDD!$B:$B,Intraday!$AJ$3,BBDD!$C:$C,Intraday!$AO$3)</f>
        <v>0.67499369382858276</v>
      </c>
      <c r="K67" s="12">
        <f>SUMIFS(BBDD!$P:$P,BBDD!$D:$D,Intraday!$B67,BBDD!$B:$B,Intraday!$AJ$3,BBDD!$C:$C,Intraday!$AO$3)</f>
        <v>1</v>
      </c>
      <c r="L67" s="12">
        <f>($C67/IF($D$2="Chat",3,1)*$D67)/SUMIFS(BBDD!$U:$U,BBDD!$D:$D,Intraday!$B67,BBDD!$B:$B,Intraday!$AJ$3,BBDD!$C:$C,Intraday!$AO$3)</f>
        <v>0.24444444444444444</v>
      </c>
    </row>
    <row r="68" spans="2:12" x14ac:dyDescent="0.25">
      <c r="B68" s="25">
        <v>0.85416666666666663</v>
      </c>
      <c r="C68" s="15">
        <f>SUMIFS(BBDD!$E:$E,BBDD!$D:$D,Intraday!$B68,BBDD!$B:$B,Intraday!$AJ$3,BBDD!$C:$C,Intraday!$AO$3)</f>
        <v>1</v>
      </c>
      <c r="D68" s="8">
        <f>SUMIFS(BBDD!$F:$F,BBDD!$D:$D,Intraday!$B68,BBDD!$B:$B,Intraday!$AJ$3,BBDD!$C:$C,Intraday!$AO$3)</f>
        <v>660</v>
      </c>
      <c r="E68" s="15">
        <f>SUMIFS(BBDD!$J:$J,BBDD!$D:$D,Intraday!$B68,BBDD!$B:$B,Intraday!$AJ$3,BBDD!$C:$C,Intraday!$AO$3)</f>
        <v>2</v>
      </c>
      <c r="F68" s="15">
        <f>SUMIFS(BBDD!$L:$L,BBDD!$D:$D,Intraday!$B68,BBDD!$B:$B,Intraday!$AJ$3,BBDD!$C:$C,Intraday!$AO$3)</f>
        <v>3</v>
      </c>
      <c r="G68" s="11">
        <v>0.1</v>
      </c>
      <c r="H68" s="15">
        <f>SUMIFS(BBDD!$M:$M,BBDD!$D:$D,Intraday!$B68,BBDD!$B:$B,Intraday!$AJ$3,BBDD!$C:$C,Intraday!$AO$3)</f>
        <v>1.5</v>
      </c>
      <c r="I68" s="15">
        <f t="shared" si="0"/>
        <v>-1.5</v>
      </c>
      <c r="J68" s="11">
        <f>SUMIFS(BBDD!$O:$O,BBDD!$D:$D,Intraday!$B68,BBDD!$B:$B,Intraday!$AJ$3,BBDD!$C:$C,Intraday!$AO$3)</f>
        <v>0.67499369382858276</v>
      </c>
      <c r="K68" s="11">
        <f>SUMIFS(BBDD!$P:$P,BBDD!$D:$D,Intraday!$B68,BBDD!$B:$B,Intraday!$AJ$3,BBDD!$C:$C,Intraday!$AO$3)</f>
        <v>1</v>
      </c>
      <c r="L68" s="11">
        <f>($C68/IF($D$2="Chat",3,1)*$D68)/SUMIFS(BBDD!$U:$U,BBDD!$D:$D,Intraday!$B68,BBDD!$B:$B,Intraday!$AJ$3,BBDD!$C:$C,Intraday!$AO$3)</f>
        <v>0.24444444444444444</v>
      </c>
    </row>
    <row r="69" spans="2:12" x14ac:dyDescent="0.25">
      <c r="B69" s="25">
        <v>0.875</v>
      </c>
      <c r="C69" s="24">
        <f>SUMIFS(BBDD!$E:$E,BBDD!$D:$D,Intraday!$B69,BBDD!$B:$B,Intraday!$AJ$3,BBDD!$C:$C,Intraday!$AO$3)</f>
        <v>1</v>
      </c>
      <c r="D69" s="9">
        <f>SUMIFS(BBDD!$F:$F,BBDD!$D:$D,Intraday!$B69,BBDD!$B:$B,Intraday!$AJ$3,BBDD!$C:$C,Intraday!$AO$3)</f>
        <v>660</v>
      </c>
      <c r="E69" s="24">
        <f>SUMIFS(BBDD!$J:$J,BBDD!$D:$D,Intraday!$B69,BBDD!$B:$B,Intraday!$AJ$3,BBDD!$C:$C,Intraday!$AO$3)</f>
        <v>2</v>
      </c>
      <c r="F69" s="24">
        <f>SUMIFS(BBDD!$L:$L,BBDD!$D:$D,Intraday!$B69,BBDD!$B:$B,Intraday!$AJ$3,BBDD!$C:$C,Intraday!$AO$3)</f>
        <v>3</v>
      </c>
      <c r="G69" s="12">
        <v>0.1</v>
      </c>
      <c r="H69" s="24">
        <f>SUMIFS(BBDD!$M:$M,BBDD!$D:$D,Intraday!$B69,BBDD!$B:$B,Intraday!$AJ$3,BBDD!$C:$C,Intraday!$AO$3)</f>
        <v>2</v>
      </c>
      <c r="I69" s="24">
        <f t="shared" si="0"/>
        <v>-1</v>
      </c>
      <c r="J69" s="12">
        <f>SUMIFS(BBDD!$O:$O,BBDD!$D:$D,Intraday!$B69,BBDD!$B:$B,Intraday!$AJ$3,BBDD!$C:$C,Intraday!$AO$3)</f>
        <v>0.69811451435089111</v>
      </c>
      <c r="K69" s="12">
        <f>SUMIFS(BBDD!$P:$P,BBDD!$D:$D,Intraday!$B69,BBDD!$B:$B,Intraday!$AJ$3,BBDD!$C:$C,Intraday!$AO$3)</f>
        <v>1</v>
      </c>
      <c r="L69" s="12">
        <f>($C69/IF($D$2="Chat",3,1)*$D69)/SUMIFS(BBDD!$U:$U,BBDD!$D:$D,Intraday!$B69,BBDD!$B:$B,Intraday!$AJ$3,BBDD!$C:$C,Intraday!$AO$3)</f>
        <v>0.18333333333333332</v>
      </c>
    </row>
    <row r="70" spans="2:12" x14ac:dyDescent="0.25">
      <c r="B70" s="25">
        <v>0.89583333333333337</v>
      </c>
      <c r="C70" s="15">
        <f>SUMIFS(BBDD!$E:$E,BBDD!$D:$D,Intraday!$B70,BBDD!$B:$B,Intraday!$AJ$3,BBDD!$C:$C,Intraday!$AO$3)</f>
        <v>1</v>
      </c>
      <c r="D70" s="8">
        <f>SUMIFS(BBDD!$F:$F,BBDD!$D:$D,Intraday!$B70,BBDD!$B:$B,Intraday!$AJ$3,BBDD!$C:$C,Intraday!$AO$3)</f>
        <v>660</v>
      </c>
      <c r="E70" s="15">
        <f>SUMIFS(BBDD!$J:$J,BBDD!$D:$D,Intraday!$B70,BBDD!$B:$B,Intraday!$AJ$3,BBDD!$C:$C,Intraday!$AO$3)</f>
        <v>2</v>
      </c>
      <c r="F70" s="15">
        <f>SUMIFS(BBDD!$L:$L,BBDD!$D:$D,Intraday!$B70,BBDD!$B:$B,Intraday!$AJ$3,BBDD!$C:$C,Intraday!$AO$3)</f>
        <v>3</v>
      </c>
      <c r="G70" s="11">
        <v>0.1</v>
      </c>
      <c r="H70" s="15">
        <f>SUMIFS(BBDD!$M:$M,BBDD!$D:$D,Intraday!$B70,BBDD!$B:$B,Intraday!$AJ$3,BBDD!$C:$C,Intraday!$AO$3)</f>
        <v>2</v>
      </c>
      <c r="I70" s="15">
        <f t="shared" si="0"/>
        <v>-1</v>
      </c>
      <c r="J70" s="11">
        <f>SUMIFS(BBDD!$O:$O,BBDD!$D:$D,Intraday!$B70,BBDD!$B:$B,Intraday!$AJ$3,BBDD!$C:$C,Intraday!$AO$3)</f>
        <v>0.69811451435089111</v>
      </c>
      <c r="K70" s="11">
        <f>SUMIFS(BBDD!$P:$P,BBDD!$D:$D,Intraday!$B70,BBDD!$B:$B,Intraday!$AJ$3,BBDD!$C:$C,Intraday!$AO$3)</f>
        <v>1</v>
      </c>
      <c r="L70" s="11">
        <f>($C70/IF($D$2="Chat",3,1)*$D70)/SUMIFS(BBDD!$U:$U,BBDD!$D:$D,Intraday!$B70,BBDD!$B:$B,Intraday!$AJ$3,BBDD!$C:$C,Intraday!$AO$3)</f>
        <v>0.18333333333333332</v>
      </c>
    </row>
  </sheetData>
  <mergeCells count="1">
    <mergeCell ref="B37:B38"/>
  </mergeCells>
  <phoneticPr fontId="3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1">
              <controlPr defaultSize="0" autoLine="0" autoPict="0">
                <anchor moveWithCells="1">
                  <from>
                    <xdr:col>4</xdr:col>
                    <xdr:colOff>457200</xdr:colOff>
                    <xdr:row>0</xdr:row>
                    <xdr:rowOff>123825</xdr:rowOff>
                  </from>
                  <to>
                    <xdr:col>5</xdr:col>
                    <xdr:colOff>857250</xdr:colOff>
                    <xdr:row>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Drop Down 2">
              <controlPr defaultSize="0" autoLine="0" autoPict="0">
                <anchor moveWithCells="1">
                  <from>
                    <xdr:col>7</xdr:col>
                    <xdr:colOff>342900</xdr:colOff>
                    <xdr:row>0</xdr:row>
                    <xdr:rowOff>123825</xdr:rowOff>
                  </from>
                  <to>
                    <xdr:col>8</xdr:col>
                    <xdr:colOff>742950</xdr:colOff>
                    <xdr:row>2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C346-43F2-4773-B5A4-66BF45D659DD}">
  <sheetPr codeName="Sheet3"/>
  <dimension ref="B2:BH51"/>
  <sheetViews>
    <sheetView showGridLines="0" showRowColHeaders="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C10" sqref="C10"/>
    </sheetView>
  </sheetViews>
  <sheetFormatPr defaultColWidth="9.140625" defaultRowHeight="15" x14ac:dyDescent="0.25"/>
  <cols>
    <col min="1" max="1" width="8.7109375" customWidth="1"/>
    <col min="2" max="2" width="38.42578125" bestFit="1" customWidth="1"/>
    <col min="3" max="11" width="20.7109375" customWidth="1"/>
    <col min="12" max="12" width="26.140625" customWidth="1"/>
    <col min="13" max="13" width="8.7109375" customWidth="1"/>
    <col min="14" max="15" width="26.140625" customWidth="1"/>
    <col min="16" max="16" width="31.140625" customWidth="1"/>
    <col min="17" max="17" width="22.5703125" customWidth="1"/>
  </cols>
  <sheetData>
    <row r="2" spans="2:60" x14ac:dyDescent="0.25">
      <c r="D2" s="2"/>
      <c r="E2" s="35" t="s">
        <v>73</v>
      </c>
      <c r="G2" s="2"/>
    </row>
    <row r="5" spans="2:60" x14ac:dyDescent="0.25">
      <c r="B5" s="30" t="s">
        <v>23</v>
      </c>
      <c r="C5" s="30" t="s">
        <v>24</v>
      </c>
      <c r="D5" s="30" t="s">
        <v>25</v>
      </c>
      <c r="E5" s="32" t="s">
        <v>3</v>
      </c>
      <c r="F5" s="32"/>
      <c r="G5" s="32"/>
      <c r="H5" s="32"/>
      <c r="I5" s="32"/>
      <c r="J5" s="32"/>
      <c r="K5" s="32"/>
      <c r="L5" s="32"/>
      <c r="M5" s="32" t="s">
        <v>4</v>
      </c>
      <c r="N5" s="32"/>
      <c r="O5" s="32"/>
      <c r="P5" s="32"/>
      <c r="Q5" s="32"/>
      <c r="R5" s="32"/>
      <c r="S5" s="32"/>
      <c r="T5" s="32"/>
      <c r="U5" s="32" t="s">
        <v>26</v>
      </c>
      <c r="V5" s="32"/>
      <c r="W5" s="32"/>
      <c r="X5" s="32"/>
      <c r="Y5" s="32"/>
      <c r="Z5" s="32"/>
      <c r="AA5" s="32"/>
      <c r="AB5" s="32"/>
      <c r="AC5" s="32" t="s">
        <v>6</v>
      </c>
      <c r="AD5" s="32"/>
      <c r="AE5" s="32"/>
      <c r="AF5" s="32"/>
      <c r="AG5" s="32"/>
      <c r="AH5" s="32"/>
      <c r="AI5" s="32"/>
      <c r="AJ5" s="32"/>
      <c r="AK5" s="32" t="s">
        <v>7</v>
      </c>
      <c r="AL5" s="32"/>
      <c r="AM5" s="32"/>
      <c r="AN5" s="32"/>
      <c r="AO5" s="32"/>
      <c r="AP5" s="32"/>
      <c r="AQ5" s="32"/>
      <c r="AR5" s="32"/>
      <c r="AS5" s="32" t="s">
        <v>8</v>
      </c>
      <c r="AT5" s="32"/>
      <c r="AU5" s="32"/>
      <c r="AV5" s="32"/>
      <c r="AW5" s="32"/>
      <c r="AX5" s="32"/>
      <c r="AY5" s="32"/>
      <c r="AZ5" s="32"/>
      <c r="BA5" s="32" t="s">
        <v>9</v>
      </c>
      <c r="BB5" s="32"/>
      <c r="BC5" s="32"/>
      <c r="BD5" s="32"/>
      <c r="BE5" s="32"/>
      <c r="BF5" s="32"/>
      <c r="BG5" s="32"/>
      <c r="BH5" s="32"/>
    </row>
    <row r="6" spans="2:60" x14ac:dyDescent="0.25">
      <c r="B6" s="30"/>
      <c r="C6" s="30"/>
      <c r="D6" s="30"/>
      <c r="E6" s="31" t="s">
        <v>27</v>
      </c>
      <c r="F6" s="31"/>
      <c r="G6" s="31" t="s">
        <v>28</v>
      </c>
      <c r="H6" s="31"/>
      <c r="I6" s="31" t="s">
        <v>29</v>
      </c>
      <c r="J6" s="31"/>
      <c r="K6" s="31" t="s">
        <v>30</v>
      </c>
      <c r="L6" s="31"/>
      <c r="M6" s="31" t="s">
        <v>27</v>
      </c>
      <c r="N6" s="31"/>
      <c r="O6" s="31" t="s">
        <v>28</v>
      </c>
      <c r="P6" s="31"/>
      <c r="Q6" s="31" t="s">
        <v>29</v>
      </c>
      <c r="R6" s="31"/>
      <c r="S6" s="31" t="s">
        <v>30</v>
      </c>
      <c r="T6" s="31"/>
      <c r="U6" s="31" t="s">
        <v>27</v>
      </c>
      <c r="V6" s="31"/>
      <c r="W6" s="31" t="s">
        <v>28</v>
      </c>
      <c r="X6" s="31"/>
      <c r="Y6" s="31" t="s">
        <v>29</v>
      </c>
      <c r="Z6" s="31"/>
      <c r="AA6" s="31" t="s">
        <v>30</v>
      </c>
      <c r="AB6" s="31"/>
      <c r="AC6" s="31" t="s">
        <v>27</v>
      </c>
      <c r="AD6" s="31"/>
      <c r="AE6" s="31" t="s">
        <v>28</v>
      </c>
      <c r="AF6" s="31"/>
      <c r="AG6" s="31" t="s">
        <v>29</v>
      </c>
      <c r="AH6" s="31"/>
      <c r="AI6" s="31" t="s">
        <v>30</v>
      </c>
      <c r="AJ6" s="31"/>
      <c r="AK6" s="31" t="s">
        <v>27</v>
      </c>
      <c r="AL6" s="31"/>
      <c r="AM6" s="31" t="s">
        <v>28</v>
      </c>
      <c r="AN6" s="31"/>
      <c r="AO6" s="31" t="s">
        <v>29</v>
      </c>
      <c r="AP6" s="31"/>
      <c r="AQ6" s="31" t="s">
        <v>30</v>
      </c>
      <c r="AR6" s="31"/>
      <c r="AS6" s="31" t="s">
        <v>27</v>
      </c>
      <c r="AT6" s="31"/>
      <c r="AU6" s="31" t="s">
        <v>28</v>
      </c>
      <c r="AV6" s="31"/>
      <c r="AW6" s="31" t="s">
        <v>29</v>
      </c>
      <c r="AX6" s="31"/>
      <c r="AY6" s="31" t="s">
        <v>30</v>
      </c>
      <c r="AZ6" s="31"/>
      <c r="BA6" s="31" t="s">
        <v>27</v>
      </c>
      <c r="BB6" s="31"/>
      <c r="BC6" s="31" t="s">
        <v>28</v>
      </c>
      <c r="BD6" s="31"/>
      <c r="BE6" s="31" t="s">
        <v>29</v>
      </c>
      <c r="BF6" s="31"/>
      <c r="BG6" s="31" t="s">
        <v>30</v>
      </c>
      <c r="BH6" s="31"/>
    </row>
    <row r="7" spans="2:60" x14ac:dyDescent="0.25">
      <c r="B7" s="30"/>
      <c r="C7" s="30"/>
      <c r="D7" s="30"/>
      <c r="E7" s="26" t="s">
        <v>31</v>
      </c>
      <c r="F7" s="26" t="s">
        <v>32</v>
      </c>
      <c r="G7" s="26" t="s">
        <v>31</v>
      </c>
      <c r="H7" s="26" t="s">
        <v>32</v>
      </c>
      <c r="I7" s="26" t="s">
        <v>31</v>
      </c>
      <c r="J7" s="26" t="s">
        <v>32</v>
      </c>
      <c r="K7" s="26" t="s">
        <v>31</v>
      </c>
      <c r="L7" s="26" t="s">
        <v>32</v>
      </c>
      <c r="M7" s="26" t="s">
        <v>31</v>
      </c>
      <c r="N7" s="26" t="s">
        <v>32</v>
      </c>
      <c r="O7" s="26" t="s">
        <v>31</v>
      </c>
      <c r="P7" s="26" t="s">
        <v>32</v>
      </c>
      <c r="Q7" s="26" t="s">
        <v>31</v>
      </c>
      <c r="R7" s="26" t="s">
        <v>32</v>
      </c>
      <c r="S7" s="26" t="s">
        <v>31</v>
      </c>
      <c r="T7" s="26" t="s">
        <v>32</v>
      </c>
      <c r="U7" s="26" t="s">
        <v>31</v>
      </c>
      <c r="V7" s="26" t="s">
        <v>32</v>
      </c>
      <c r="W7" s="26" t="s">
        <v>31</v>
      </c>
      <c r="X7" s="26" t="s">
        <v>32</v>
      </c>
      <c r="Y7" s="26" t="s">
        <v>31</v>
      </c>
      <c r="Z7" s="26" t="s">
        <v>32</v>
      </c>
      <c r="AA7" s="26" t="s">
        <v>31</v>
      </c>
      <c r="AB7" s="26" t="s">
        <v>32</v>
      </c>
      <c r="AC7" s="26" t="s">
        <v>31</v>
      </c>
      <c r="AD7" s="26" t="s">
        <v>32</v>
      </c>
      <c r="AE7" s="26" t="s">
        <v>31</v>
      </c>
      <c r="AF7" s="26" t="s">
        <v>32</v>
      </c>
      <c r="AG7" s="26" t="s">
        <v>31</v>
      </c>
      <c r="AH7" s="26" t="s">
        <v>32</v>
      </c>
      <c r="AI7" s="26" t="s">
        <v>31</v>
      </c>
      <c r="AJ7" s="26" t="s">
        <v>32</v>
      </c>
      <c r="AK7" s="26" t="s">
        <v>31</v>
      </c>
      <c r="AL7" s="26" t="s">
        <v>32</v>
      </c>
      <c r="AM7" s="26" t="s">
        <v>31</v>
      </c>
      <c r="AN7" s="26" t="s">
        <v>32</v>
      </c>
      <c r="AO7" s="26" t="s">
        <v>31</v>
      </c>
      <c r="AP7" s="26" t="s">
        <v>32</v>
      </c>
      <c r="AQ7" s="26" t="s">
        <v>31</v>
      </c>
      <c r="AR7" s="26" t="s">
        <v>32</v>
      </c>
      <c r="AS7" s="26" t="s">
        <v>31</v>
      </c>
      <c r="AT7" s="26" t="s">
        <v>32</v>
      </c>
      <c r="AU7" s="26" t="s">
        <v>31</v>
      </c>
      <c r="AV7" s="26" t="s">
        <v>32</v>
      </c>
      <c r="AW7" s="26" t="s">
        <v>31</v>
      </c>
      <c r="AX7" s="26" t="s">
        <v>32</v>
      </c>
      <c r="AY7" s="26" t="s">
        <v>31</v>
      </c>
      <c r="AZ7" s="26" t="s">
        <v>32</v>
      </c>
      <c r="BA7" s="26" t="s">
        <v>31</v>
      </c>
      <c r="BB7" s="26" t="s">
        <v>32</v>
      </c>
      <c r="BC7" s="26" t="s">
        <v>31</v>
      </c>
      <c r="BD7" s="26" t="s">
        <v>32</v>
      </c>
      <c r="BE7" s="26" t="s">
        <v>31</v>
      </c>
      <c r="BF7" s="26" t="s">
        <v>32</v>
      </c>
      <c r="BG7" s="26" t="s">
        <v>31</v>
      </c>
      <c r="BH7" s="26" t="s">
        <v>32</v>
      </c>
    </row>
    <row r="8" spans="2:60" x14ac:dyDescent="0.25">
      <c r="B8" s="27" t="s">
        <v>45</v>
      </c>
      <c r="C8" s="28">
        <f t="shared" ref="C8:C39" si="0">+(F8-E8-(L8-K8))+(N8-M8-(T8-S8))+(V8-U8-(AB8-AA8))+(AD8-AC8-(AJ8-AI8))+(AL8-AK8-(AR8-AQ8))+(AT8-AS8-(AZ8-AY8))+(BB8-BA8-(BH8-BG8))</f>
        <v>1.875</v>
      </c>
      <c r="D8" s="27" t="s">
        <v>2</v>
      </c>
      <c r="E8" s="27">
        <v>0.25</v>
      </c>
      <c r="F8" s="27">
        <v>0.5625</v>
      </c>
      <c r="G8" s="27">
        <v>0.34375</v>
      </c>
      <c r="H8" s="27">
        <v>0.35416666666666669</v>
      </c>
      <c r="I8" s="27">
        <v>0.47916666666666663</v>
      </c>
      <c r="J8" s="27">
        <v>0.48958333333333331</v>
      </c>
      <c r="K8" s="27">
        <v>0</v>
      </c>
      <c r="L8" s="27">
        <v>0</v>
      </c>
      <c r="M8" s="27">
        <v>0.25</v>
      </c>
      <c r="N8" s="27">
        <v>0.58333333333333337</v>
      </c>
      <c r="O8" s="27">
        <v>0.34375</v>
      </c>
      <c r="P8" s="27">
        <v>0.35416666666666669</v>
      </c>
      <c r="Q8" s="27">
        <v>0.47916666666666663</v>
      </c>
      <c r="R8" s="27">
        <v>0.48958333333333331</v>
      </c>
      <c r="S8" s="27">
        <v>0</v>
      </c>
      <c r="T8" s="27">
        <v>0</v>
      </c>
      <c r="U8" s="27">
        <v>0.25</v>
      </c>
      <c r="V8" s="27">
        <v>0.5625</v>
      </c>
      <c r="W8" s="27">
        <v>0.34375</v>
      </c>
      <c r="X8" s="27">
        <v>0.35416666666666669</v>
      </c>
      <c r="Y8" s="27">
        <v>0.47916666666666663</v>
      </c>
      <c r="Z8" s="27">
        <v>0.48958333333333331</v>
      </c>
      <c r="AA8" s="27">
        <v>0</v>
      </c>
      <c r="AB8" s="27">
        <v>0</v>
      </c>
      <c r="AC8" s="27">
        <v>0.25</v>
      </c>
      <c r="AD8" s="27">
        <v>0.5625</v>
      </c>
      <c r="AE8" s="27">
        <v>0.34375</v>
      </c>
      <c r="AF8" s="27">
        <v>0.35416666666666669</v>
      </c>
      <c r="AG8" s="27">
        <v>0.47916666666666663</v>
      </c>
      <c r="AH8" s="27">
        <v>0.48958333333333331</v>
      </c>
      <c r="AI8" s="27">
        <v>0</v>
      </c>
      <c r="AJ8" s="27">
        <v>0</v>
      </c>
      <c r="AK8" s="27">
        <v>0.25</v>
      </c>
      <c r="AL8" s="27">
        <v>0.5625</v>
      </c>
      <c r="AM8" s="27">
        <v>0.34375</v>
      </c>
      <c r="AN8" s="27">
        <v>0.35416666666666669</v>
      </c>
      <c r="AO8" s="27">
        <v>0.47916666666666663</v>
      </c>
      <c r="AP8" s="27">
        <v>0.48958333333333331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  <c r="BA8" s="27">
        <v>0.375</v>
      </c>
      <c r="BB8" s="27">
        <v>0.66666666666666663</v>
      </c>
      <c r="BC8" s="27">
        <v>0.4375</v>
      </c>
      <c r="BD8" s="27">
        <v>0.44791666666666669</v>
      </c>
      <c r="BE8" s="27">
        <v>0.54166666666666663</v>
      </c>
      <c r="BF8" s="27">
        <v>0.55208333333333326</v>
      </c>
      <c r="BG8" s="27">
        <v>0</v>
      </c>
      <c r="BH8" s="27">
        <v>0</v>
      </c>
    </row>
    <row r="9" spans="2:60" x14ac:dyDescent="0.25">
      <c r="B9" s="27" t="s">
        <v>42</v>
      </c>
      <c r="C9" s="28">
        <f t="shared" si="0"/>
        <v>1.875</v>
      </c>
      <c r="D9" s="27" t="s">
        <v>2</v>
      </c>
      <c r="E9" s="27">
        <v>0.25</v>
      </c>
      <c r="F9" s="27">
        <v>0.5625</v>
      </c>
      <c r="G9" s="27">
        <v>0.35416666666666669</v>
      </c>
      <c r="H9" s="27">
        <v>0.36458333333333337</v>
      </c>
      <c r="I9" s="27">
        <v>0.5</v>
      </c>
      <c r="J9" s="27">
        <v>0.51041666666666663</v>
      </c>
      <c r="K9" s="27">
        <v>0</v>
      </c>
      <c r="L9" s="27">
        <v>0</v>
      </c>
      <c r="M9" s="27">
        <v>0.25</v>
      </c>
      <c r="N9" s="27">
        <v>0.5625</v>
      </c>
      <c r="O9" s="27">
        <v>0.35416666666666669</v>
      </c>
      <c r="P9" s="27">
        <v>0.36458333333333337</v>
      </c>
      <c r="Q9" s="27">
        <v>0.5</v>
      </c>
      <c r="R9" s="27">
        <v>0.51041666666666663</v>
      </c>
      <c r="S9" s="27">
        <v>0</v>
      </c>
      <c r="T9" s="27">
        <v>0</v>
      </c>
      <c r="U9" s="27">
        <v>0.25</v>
      </c>
      <c r="V9" s="27">
        <v>0.5625</v>
      </c>
      <c r="W9" s="27">
        <v>0.35416666666666669</v>
      </c>
      <c r="X9" s="27">
        <v>0.36458333333333337</v>
      </c>
      <c r="Y9" s="27">
        <v>0.5</v>
      </c>
      <c r="Z9" s="27">
        <v>0.51041666666666663</v>
      </c>
      <c r="AA9" s="27">
        <v>0</v>
      </c>
      <c r="AB9" s="27">
        <v>0</v>
      </c>
      <c r="AC9" s="27">
        <v>0.25</v>
      </c>
      <c r="AD9" s="27">
        <v>0.5625</v>
      </c>
      <c r="AE9" s="27">
        <v>0.35416666666666669</v>
      </c>
      <c r="AF9" s="27">
        <v>0.36458333333333337</v>
      </c>
      <c r="AG9" s="27">
        <v>0.5</v>
      </c>
      <c r="AH9" s="27">
        <v>0.51041666666666663</v>
      </c>
      <c r="AI9" s="27">
        <v>0</v>
      </c>
      <c r="AJ9" s="27">
        <v>0</v>
      </c>
      <c r="AK9" s="27">
        <v>0.25</v>
      </c>
      <c r="AL9" s="27">
        <v>0.5625</v>
      </c>
      <c r="AM9" s="27">
        <v>0.35416666666666669</v>
      </c>
      <c r="AN9" s="27">
        <v>0.36458333333333337</v>
      </c>
      <c r="AO9" s="27">
        <v>0.5</v>
      </c>
      <c r="AP9" s="27">
        <v>0.51041666666666663</v>
      </c>
      <c r="AQ9" s="27">
        <v>0</v>
      </c>
      <c r="AR9" s="27">
        <v>0</v>
      </c>
      <c r="AS9" s="27">
        <v>0.60416666666666663</v>
      </c>
      <c r="AT9" s="27">
        <v>0.91666666666666663</v>
      </c>
      <c r="AU9" s="27">
        <v>0.69791666666666663</v>
      </c>
      <c r="AV9" s="27">
        <v>0.70833333333333326</v>
      </c>
      <c r="AW9" s="27">
        <v>0.84374999999999989</v>
      </c>
      <c r="AX9" s="27">
        <v>0.85416666666666652</v>
      </c>
      <c r="AY9" s="27">
        <v>0</v>
      </c>
      <c r="AZ9" s="27">
        <v>0</v>
      </c>
      <c r="BA9" s="27">
        <v>0</v>
      </c>
      <c r="BB9" s="27">
        <v>0</v>
      </c>
      <c r="BC9" s="27">
        <v>0</v>
      </c>
      <c r="BD9" s="27">
        <v>0</v>
      </c>
      <c r="BE9" s="27">
        <v>0</v>
      </c>
      <c r="BF9" s="27">
        <v>0</v>
      </c>
      <c r="BG9" s="27">
        <v>0</v>
      </c>
      <c r="BH9" s="27">
        <v>0</v>
      </c>
    </row>
    <row r="10" spans="2:60" x14ac:dyDescent="0.25">
      <c r="B10" s="27" t="s">
        <v>43</v>
      </c>
      <c r="C10" s="28">
        <f t="shared" si="0"/>
        <v>1.875</v>
      </c>
      <c r="D10" s="27" t="s">
        <v>2</v>
      </c>
      <c r="E10" s="27">
        <v>0.60416666666666663</v>
      </c>
      <c r="F10" s="27">
        <v>0.91666666666666663</v>
      </c>
      <c r="G10" s="27">
        <v>0.69791666666666663</v>
      </c>
      <c r="H10" s="27">
        <v>0.70833333333333326</v>
      </c>
      <c r="I10" s="27">
        <v>0.83333333333333326</v>
      </c>
      <c r="J10" s="27">
        <v>0.84374999999999989</v>
      </c>
      <c r="K10" s="27">
        <v>0</v>
      </c>
      <c r="L10" s="27">
        <v>0</v>
      </c>
      <c r="M10" s="27">
        <v>0.58333333333333337</v>
      </c>
      <c r="N10" s="27">
        <v>0.91666666666666663</v>
      </c>
      <c r="O10" s="27">
        <v>0.67708333333333337</v>
      </c>
      <c r="P10" s="27">
        <v>0.6875</v>
      </c>
      <c r="Q10" s="27">
        <v>0.8125</v>
      </c>
      <c r="R10" s="27">
        <v>0.82291666666666663</v>
      </c>
      <c r="S10" s="27">
        <v>0</v>
      </c>
      <c r="T10" s="27">
        <v>0</v>
      </c>
      <c r="U10" s="27">
        <v>0.60416666666666663</v>
      </c>
      <c r="V10" s="27">
        <v>0.91666666666666663</v>
      </c>
      <c r="W10" s="27">
        <v>0.69791666666666663</v>
      </c>
      <c r="X10" s="27">
        <v>0.70833333333333326</v>
      </c>
      <c r="Y10" s="27">
        <v>0.83333333333333326</v>
      </c>
      <c r="Z10" s="27">
        <v>0.84374999999999989</v>
      </c>
      <c r="AA10" s="27">
        <v>0</v>
      </c>
      <c r="AB10" s="27">
        <v>0</v>
      </c>
      <c r="AC10" s="27">
        <v>0.60416666666666663</v>
      </c>
      <c r="AD10" s="27">
        <v>0.91666666666666663</v>
      </c>
      <c r="AE10" s="27">
        <v>0.69791666666666663</v>
      </c>
      <c r="AF10" s="27">
        <v>0.70833333333333326</v>
      </c>
      <c r="AG10" s="27">
        <v>0.83333333333333326</v>
      </c>
      <c r="AH10" s="27">
        <v>0.84374999999999989</v>
      </c>
      <c r="AI10" s="27">
        <v>0</v>
      </c>
      <c r="AJ10" s="27">
        <v>0</v>
      </c>
      <c r="AK10" s="27">
        <v>0.60416666666666663</v>
      </c>
      <c r="AL10" s="27">
        <v>0.91666666666666663</v>
      </c>
      <c r="AM10" s="27">
        <v>0.69791666666666663</v>
      </c>
      <c r="AN10" s="27">
        <v>0.70833333333333326</v>
      </c>
      <c r="AO10" s="27">
        <v>0.83333333333333326</v>
      </c>
      <c r="AP10" s="27">
        <v>0.84374999999999989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0.375</v>
      </c>
      <c r="BB10" s="27">
        <v>0.66666666666666663</v>
      </c>
      <c r="BC10" s="27">
        <v>0.52083333333333337</v>
      </c>
      <c r="BD10" s="27">
        <v>0.53125</v>
      </c>
      <c r="BE10" s="27">
        <v>0.58333333333333337</v>
      </c>
      <c r="BF10" s="27">
        <v>0.59375</v>
      </c>
      <c r="BG10" s="27">
        <v>0</v>
      </c>
      <c r="BH10" s="27">
        <v>0</v>
      </c>
    </row>
    <row r="11" spans="2:60" x14ac:dyDescent="0.25">
      <c r="B11" s="27" t="s">
        <v>48</v>
      </c>
      <c r="C11" s="28">
        <f t="shared" si="0"/>
        <v>1.8749999999999998</v>
      </c>
      <c r="D11" s="27" t="s">
        <v>2</v>
      </c>
      <c r="E11" s="27">
        <v>0.60416666666666663</v>
      </c>
      <c r="F11" s="27">
        <v>0.91666666666666663</v>
      </c>
      <c r="G11" s="27">
        <v>0.70833333333333326</v>
      </c>
      <c r="H11" s="27">
        <v>0.71874999999999989</v>
      </c>
      <c r="I11" s="27">
        <v>0.85416666666666663</v>
      </c>
      <c r="J11" s="27">
        <v>0.86458333333333326</v>
      </c>
      <c r="K11" s="27">
        <v>0</v>
      </c>
      <c r="L11" s="27">
        <v>0</v>
      </c>
      <c r="M11" s="27">
        <v>0.60416666666666663</v>
      </c>
      <c r="N11" s="27">
        <v>0.91666666666666663</v>
      </c>
      <c r="O11" s="27">
        <v>0.70833333333333326</v>
      </c>
      <c r="P11" s="27">
        <v>0.71874999999999989</v>
      </c>
      <c r="Q11" s="27">
        <v>0.85416666666666663</v>
      </c>
      <c r="R11" s="27">
        <v>0.86458333333333326</v>
      </c>
      <c r="S11" s="27">
        <v>0</v>
      </c>
      <c r="T11" s="27">
        <v>0</v>
      </c>
      <c r="U11" s="27">
        <v>0.60416666666666663</v>
      </c>
      <c r="V11" s="27">
        <v>0.91666666666666663</v>
      </c>
      <c r="W11" s="27">
        <v>0.70833333333333326</v>
      </c>
      <c r="X11" s="27">
        <v>0.71874999999999989</v>
      </c>
      <c r="Y11" s="27">
        <v>0.85416666666666663</v>
      </c>
      <c r="Z11" s="27">
        <v>0.86458333333333326</v>
      </c>
      <c r="AA11" s="27">
        <v>0</v>
      </c>
      <c r="AB11" s="27">
        <v>0</v>
      </c>
      <c r="AC11" s="27">
        <v>0.60416666666666663</v>
      </c>
      <c r="AD11" s="27">
        <v>0.91666666666666663</v>
      </c>
      <c r="AE11" s="27">
        <v>0.70833333333333326</v>
      </c>
      <c r="AF11" s="27">
        <v>0.71874999999999989</v>
      </c>
      <c r="AG11" s="27">
        <v>0.85416666666666663</v>
      </c>
      <c r="AH11" s="27">
        <v>0.86458333333333326</v>
      </c>
      <c r="AI11" s="27">
        <v>0</v>
      </c>
      <c r="AJ11" s="27">
        <v>0</v>
      </c>
      <c r="AK11" s="27">
        <v>0.625</v>
      </c>
      <c r="AL11" s="27">
        <v>0.91666666666666663</v>
      </c>
      <c r="AM11" s="27">
        <v>0.72916666666666663</v>
      </c>
      <c r="AN11" s="27">
        <v>0.73958333333333326</v>
      </c>
      <c r="AO11" s="27">
        <v>0.875</v>
      </c>
      <c r="AP11" s="27">
        <v>0.88541666666666663</v>
      </c>
      <c r="AQ11" s="27">
        <v>0</v>
      </c>
      <c r="AR11" s="27">
        <v>0</v>
      </c>
      <c r="AS11" s="27">
        <v>0.33333333333333331</v>
      </c>
      <c r="AT11" s="27">
        <v>0.70833333333333326</v>
      </c>
      <c r="AU11" s="27">
        <v>0.42708333333333331</v>
      </c>
      <c r="AV11" s="27">
        <v>0.4375</v>
      </c>
      <c r="AW11" s="27">
        <v>0.65625</v>
      </c>
      <c r="AX11" s="27">
        <v>0.66666666666666663</v>
      </c>
      <c r="AY11" s="27">
        <v>0.5</v>
      </c>
      <c r="AZ11" s="27">
        <v>0.54166666666666663</v>
      </c>
      <c r="BA11" s="27">
        <v>0</v>
      </c>
      <c r="BB11" s="27">
        <v>0</v>
      </c>
      <c r="BC11" s="27">
        <v>0</v>
      </c>
      <c r="BD11" s="27">
        <v>0</v>
      </c>
      <c r="BE11" s="27">
        <v>0</v>
      </c>
      <c r="BF11" s="27">
        <v>0</v>
      </c>
      <c r="BG11" s="27">
        <v>0</v>
      </c>
      <c r="BH11" s="27">
        <v>0</v>
      </c>
    </row>
    <row r="12" spans="2:60" x14ac:dyDescent="0.25">
      <c r="B12" s="27" t="s">
        <v>47</v>
      </c>
      <c r="C12" s="28">
        <f t="shared" si="0"/>
        <v>1.875</v>
      </c>
      <c r="D12" s="27" t="s">
        <v>2</v>
      </c>
      <c r="E12" s="27">
        <v>0.52083333333333337</v>
      </c>
      <c r="F12" s="27">
        <v>0.83333333333333337</v>
      </c>
      <c r="G12" s="27">
        <v>0.625</v>
      </c>
      <c r="H12" s="27">
        <v>0.63916666666666666</v>
      </c>
      <c r="I12" s="27">
        <v>0.66666666666666663</v>
      </c>
      <c r="J12" s="27">
        <v>0.68083333333333329</v>
      </c>
      <c r="K12" s="27">
        <v>0</v>
      </c>
      <c r="L12" s="27">
        <v>0</v>
      </c>
      <c r="M12" s="27">
        <v>0.5</v>
      </c>
      <c r="N12" s="27">
        <v>0.83333333333333337</v>
      </c>
      <c r="O12" s="27">
        <v>0.625</v>
      </c>
      <c r="P12" s="27">
        <v>0.63916666666666666</v>
      </c>
      <c r="Q12" s="27">
        <v>0.66666666666666663</v>
      </c>
      <c r="R12" s="27">
        <v>0.68083333333333329</v>
      </c>
      <c r="S12" s="27">
        <v>0</v>
      </c>
      <c r="T12" s="27">
        <v>0</v>
      </c>
      <c r="U12" s="27">
        <v>0.52083333333333337</v>
      </c>
      <c r="V12" s="27">
        <v>0.83333333333333337</v>
      </c>
      <c r="W12" s="27">
        <v>0.625</v>
      </c>
      <c r="X12" s="27">
        <v>0.63916666666666666</v>
      </c>
      <c r="Y12" s="27">
        <v>0.66666666666666663</v>
      </c>
      <c r="Z12" s="27">
        <v>0.68083333333333329</v>
      </c>
      <c r="AA12" s="27">
        <v>0</v>
      </c>
      <c r="AB12" s="27">
        <v>0</v>
      </c>
      <c r="AC12" s="27">
        <v>0.52083333333333337</v>
      </c>
      <c r="AD12" s="27">
        <v>0.83333333333333337</v>
      </c>
      <c r="AE12" s="27">
        <v>0.625</v>
      </c>
      <c r="AF12" s="27">
        <v>0.63916666666666666</v>
      </c>
      <c r="AG12" s="27">
        <v>0.66666666666666663</v>
      </c>
      <c r="AH12" s="27">
        <v>0.68083333333333329</v>
      </c>
      <c r="AI12" s="27">
        <v>0</v>
      </c>
      <c r="AJ12" s="27">
        <v>0</v>
      </c>
      <c r="AK12" s="27">
        <v>0.52083333333333337</v>
      </c>
      <c r="AL12" s="27">
        <v>0.83333333333333337</v>
      </c>
      <c r="AM12" s="27">
        <v>0.625</v>
      </c>
      <c r="AN12" s="27">
        <v>0.63916666666666666</v>
      </c>
      <c r="AO12" s="27">
        <v>0.66666666666666663</v>
      </c>
      <c r="AP12" s="27">
        <v>0.68083333333333329</v>
      </c>
      <c r="AQ12" s="27">
        <v>0</v>
      </c>
      <c r="AR12" s="27">
        <v>0</v>
      </c>
      <c r="AS12" s="27">
        <v>0.375</v>
      </c>
      <c r="AT12" s="27">
        <v>0.70833333333333326</v>
      </c>
      <c r="AU12" s="27">
        <v>0.46875</v>
      </c>
      <c r="AV12" s="27">
        <v>0.48291666666666666</v>
      </c>
      <c r="AW12" s="27">
        <v>0.64958333333333329</v>
      </c>
      <c r="AX12" s="27">
        <v>0.65999999999999992</v>
      </c>
      <c r="AY12" s="27">
        <v>0.54166666666666663</v>
      </c>
      <c r="AZ12" s="27">
        <v>0.58333333333333337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</row>
    <row r="13" spans="2:60" x14ac:dyDescent="0.25">
      <c r="B13" s="27" t="s">
        <v>37</v>
      </c>
      <c r="C13" s="28">
        <f t="shared" si="0"/>
        <v>1.8750000000000002</v>
      </c>
      <c r="D13" s="27" t="s">
        <v>2</v>
      </c>
      <c r="E13" s="27">
        <v>0.375</v>
      </c>
      <c r="F13" s="27">
        <v>0.75</v>
      </c>
      <c r="G13" s="27">
        <v>0.46875</v>
      </c>
      <c r="H13" s="27">
        <v>0.48291666666666666</v>
      </c>
      <c r="I13" s="27">
        <v>0.64583333333333337</v>
      </c>
      <c r="J13" s="27">
        <v>0.66</v>
      </c>
      <c r="K13" s="27">
        <v>0.52083333333333337</v>
      </c>
      <c r="L13" s="27">
        <v>0.5625</v>
      </c>
      <c r="M13" s="27">
        <v>0.375</v>
      </c>
      <c r="N13" s="27">
        <v>0.75</v>
      </c>
      <c r="O13" s="27">
        <v>0.46875</v>
      </c>
      <c r="P13" s="27">
        <v>0.48291666666666666</v>
      </c>
      <c r="Q13" s="27">
        <v>0.64583333333333337</v>
      </c>
      <c r="R13" s="27">
        <v>0.66</v>
      </c>
      <c r="S13" s="27">
        <v>0.52083333333333337</v>
      </c>
      <c r="T13" s="27">
        <v>0.5625</v>
      </c>
      <c r="U13" s="27">
        <v>0.375</v>
      </c>
      <c r="V13" s="27">
        <v>0.75</v>
      </c>
      <c r="W13" s="27">
        <v>0.46875</v>
      </c>
      <c r="X13" s="27">
        <v>0.48291666666666666</v>
      </c>
      <c r="Y13" s="27">
        <v>0.64583333333333337</v>
      </c>
      <c r="Z13" s="27">
        <v>0.66</v>
      </c>
      <c r="AA13" s="27">
        <v>0.52083333333333337</v>
      </c>
      <c r="AB13" s="27">
        <v>0.5625</v>
      </c>
      <c r="AC13" s="27">
        <v>0.375</v>
      </c>
      <c r="AD13" s="27">
        <v>0.75</v>
      </c>
      <c r="AE13" s="27">
        <v>0.46875</v>
      </c>
      <c r="AF13" s="27">
        <v>0.48291666666666666</v>
      </c>
      <c r="AG13" s="27">
        <v>0.64583333333333337</v>
      </c>
      <c r="AH13" s="27">
        <v>0.66</v>
      </c>
      <c r="AI13" s="27">
        <v>0.52083333333333337</v>
      </c>
      <c r="AJ13" s="27">
        <v>0.5625</v>
      </c>
      <c r="AK13" s="27">
        <v>0.375</v>
      </c>
      <c r="AL13" s="27">
        <v>0.75</v>
      </c>
      <c r="AM13" s="27">
        <v>0.46875</v>
      </c>
      <c r="AN13" s="27">
        <v>0.48291666666666666</v>
      </c>
      <c r="AO13" s="27">
        <v>0.64583333333333337</v>
      </c>
      <c r="AP13" s="27">
        <v>0.66</v>
      </c>
      <c r="AQ13" s="27">
        <v>0.52083333333333337</v>
      </c>
      <c r="AR13" s="27">
        <v>0.5625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0.33333333333333331</v>
      </c>
      <c r="BB13" s="27">
        <v>0.54166666666666663</v>
      </c>
      <c r="BC13" s="27">
        <v>0.47916666666666663</v>
      </c>
      <c r="BD13" s="27">
        <v>0.49333333333333329</v>
      </c>
      <c r="BE13" s="27">
        <v>0</v>
      </c>
      <c r="BF13" s="27">
        <v>0</v>
      </c>
      <c r="BG13" s="27">
        <v>0</v>
      </c>
      <c r="BH13" s="27">
        <v>0</v>
      </c>
    </row>
    <row r="14" spans="2:60" x14ac:dyDescent="0.25">
      <c r="B14" s="27" t="s">
        <v>34</v>
      </c>
      <c r="C14" s="28">
        <f t="shared" si="0"/>
        <v>1.8749999999999998</v>
      </c>
      <c r="D14" s="27" t="s">
        <v>2</v>
      </c>
      <c r="E14" s="27">
        <v>0.35416666666666669</v>
      </c>
      <c r="F14" s="27">
        <v>0.70833333333333326</v>
      </c>
      <c r="G14" s="27">
        <v>0.45833333333333337</v>
      </c>
      <c r="H14" s="27">
        <v>0.47250000000000003</v>
      </c>
      <c r="I14" s="27">
        <v>0.63541666666666674</v>
      </c>
      <c r="J14" s="27">
        <v>0.6495833333333334</v>
      </c>
      <c r="K14" s="27">
        <v>0.5</v>
      </c>
      <c r="L14" s="27">
        <v>0.54166666666666663</v>
      </c>
      <c r="M14" s="27">
        <v>0.35416666666666669</v>
      </c>
      <c r="N14" s="27">
        <v>0.70833333333333326</v>
      </c>
      <c r="O14" s="27">
        <v>0.45833333333333337</v>
      </c>
      <c r="P14" s="27">
        <v>0.47250000000000003</v>
      </c>
      <c r="Q14" s="27">
        <v>0.63541666666666674</v>
      </c>
      <c r="R14" s="27">
        <v>0.6495833333333334</v>
      </c>
      <c r="S14" s="27">
        <v>0.5</v>
      </c>
      <c r="T14" s="27">
        <v>0.54166666666666663</v>
      </c>
      <c r="U14" s="27">
        <v>0.35416666666666669</v>
      </c>
      <c r="V14" s="27">
        <v>0.70833333333333326</v>
      </c>
      <c r="W14" s="27">
        <v>0.45833333333333337</v>
      </c>
      <c r="X14" s="27">
        <v>0.47250000000000003</v>
      </c>
      <c r="Y14" s="27">
        <v>0.63541666666666674</v>
      </c>
      <c r="Z14" s="27">
        <v>0.6495833333333334</v>
      </c>
      <c r="AA14" s="27">
        <v>0.5</v>
      </c>
      <c r="AB14" s="27">
        <v>0.54166666666666663</v>
      </c>
      <c r="AC14" s="27">
        <v>0.35416666666666669</v>
      </c>
      <c r="AD14" s="27">
        <v>0.70833333333333326</v>
      </c>
      <c r="AE14" s="27">
        <v>0.45833333333333337</v>
      </c>
      <c r="AF14" s="27">
        <v>0.47250000000000003</v>
      </c>
      <c r="AG14" s="27">
        <v>0.63541666666666674</v>
      </c>
      <c r="AH14" s="27">
        <v>0.6495833333333334</v>
      </c>
      <c r="AI14" s="27">
        <v>0.5</v>
      </c>
      <c r="AJ14" s="27">
        <v>0.54166666666666663</v>
      </c>
      <c r="AK14" s="27">
        <v>0.35416666666666669</v>
      </c>
      <c r="AL14" s="27">
        <v>0.70833333333333326</v>
      </c>
      <c r="AM14" s="27">
        <v>0.45833333333333337</v>
      </c>
      <c r="AN14" s="27">
        <v>0.47250000000000003</v>
      </c>
      <c r="AO14" s="27">
        <v>0.63541666666666674</v>
      </c>
      <c r="AP14" s="27">
        <v>0.6495833333333334</v>
      </c>
      <c r="AQ14" s="27">
        <v>0.5</v>
      </c>
      <c r="AR14" s="27">
        <v>0.54166666666666663</v>
      </c>
      <c r="AS14" s="27">
        <v>0.60416666666666663</v>
      </c>
      <c r="AT14" s="27">
        <v>0.91666666666666663</v>
      </c>
      <c r="AU14" s="27">
        <v>0.67708333333333337</v>
      </c>
      <c r="AV14" s="27">
        <v>0.69125000000000003</v>
      </c>
      <c r="AW14" s="27">
        <v>0.82666666666666666</v>
      </c>
      <c r="AX14" s="27">
        <v>0.83708333333333329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</row>
    <row r="15" spans="2:60" x14ac:dyDescent="0.25">
      <c r="B15" s="27" t="s">
        <v>36</v>
      </c>
      <c r="C15" s="28">
        <f t="shared" si="0"/>
        <v>1.8749999999999998</v>
      </c>
      <c r="D15" s="27" t="s">
        <v>2</v>
      </c>
      <c r="E15" s="27">
        <v>0.33333333333333331</v>
      </c>
      <c r="F15" s="27">
        <v>0.70833333333333326</v>
      </c>
      <c r="G15" s="27">
        <v>0.44791666666666663</v>
      </c>
      <c r="H15" s="27">
        <v>0.46208333333333329</v>
      </c>
      <c r="I15" s="27">
        <v>0.625</v>
      </c>
      <c r="J15" s="27">
        <v>0.63916666666666666</v>
      </c>
      <c r="K15" s="27">
        <v>0.52083333333333337</v>
      </c>
      <c r="L15" s="27">
        <v>0.5625</v>
      </c>
      <c r="M15" s="27">
        <v>0.33333333333333331</v>
      </c>
      <c r="N15" s="27">
        <v>0.70833333333333326</v>
      </c>
      <c r="O15" s="27">
        <v>0.44791666666666663</v>
      </c>
      <c r="P15" s="27">
        <v>0.46208333333333329</v>
      </c>
      <c r="Q15" s="27">
        <v>0.625</v>
      </c>
      <c r="R15" s="27">
        <v>0.63916666666666666</v>
      </c>
      <c r="S15" s="27">
        <v>0.52083333333333337</v>
      </c>
      <c r="T15" s="27">
        <v>0.5625</v>
      </c>
      <c r="U15" s="27">
        <v>0.33333333333333331</v>
      </c>
      <c r="V15" s="27">
        <v>0.70833333333333326</v>
      </c>
      <c r="W15" s="27">
        <v>0.44791666666666663</v>
      </c>
      <c r="X15" s="27">
        <v>0.46208333333333329</v>
      </c>
      <c r="Y15" s="27">
        <v>0.625</v>
      </c>
      <c r="Z15" s="27">
        <v>0.63916666666666666</v>
      </c>
      <c r="AA15" s="27">
        <v>0.52083333333333337</v>
      </c>
      <c r="AB15" s="27">
        <v>0.5625</v>
      </c>
      <c r="AC15" s="27">
        <v>0.33333333333333331</v>
      </c>
      <c r="AD15" s="27">
        <v>0.70833333333333326</v>
      </c>
      <c r="AE15" s="27">
        <v>0.44791666666666663</v>
      </c>
      <c r="AF15" s="27">
        <v>0.46208333333333329</v>
      </c>
      <c r="AG15" s="27">
        <v>0.625</v>
      </c>
      <c r="AH15" s="27">
        <v>0.63916666666666666</v>
      </c>
      <c r="AI15" s="27">
        <v>0.52083333333333337</v>
      </c>
      <c r="AJ15" s="27">
        <v>0.5625</v>
      </c>
      <c r="AK15" s="27">
        <v>0.33333333333333331</v>
      </c>
      <c r="AL15" s="27">
        <v>0.70833333333333326</v>
      </c>
      <c r="AM15" s="27">
        <v>0.44791666666666663</v>
      </c>
      <c r="AN15" s="27">
        <v>0.46208333333333329</v>
      </c>
      <c r="AO15" s="27">
        <v>0.625</v>
      </c>
      <c r="AP15" s="27">
        <v>0.63916666666666666</v>
      </c>
      <c r="AQ15" s="27">
        <v>0.52083333333333337</v>
      </c>
      <c r="AR15" s="27">
        <v>0.5625</v>
      </c>
      <c r="AS15" s="27">
        <v>0.33333333333333331</v>
      </c>
      <c r="AT15" s="27">
        <v>0.54166666666666663</v>
      </c>
      <c r="AU15" s="27">
        <v>0.42708333333333331</v>
      </c>
      <c r="AV15" s="27">
        <v>0.44124999999999998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</row>
    <row r="16" spans="2:60" x14ac:dyDescent="0.25">
      <c r="B16" s="27" t="s">
        <v>35</v>
      </c>
      <c r="C16" s="28">
        <f t="shared" si="0"/>
        <v>1.8749999999999998</v>
      </c>
      <c r="D16" s="27" t="s">
        <v>2</v>
      </c>
      <c r="E16" s="27">
        <v>0.33333333333333331</v>
      </c>
      <c r="F16" s="27">
        <v>0.70833333333333326</v>
      </c>
      <c r="G16" s="27">
        <v>0.42708333333333331</v>
      </c>
      <c r="H16" s="27">
        <v>0.44124999999999998</v>
      </c>
      <c r="I16" s="27">
        <v>0.60416666666666663</v>
      </c>
      <c r="J16" s="27">
        <v>0.61833333333333329</v>
      </c>
      <c r="K16" s="27">
        <v>0.52083333333333337</v>
      </c>
      <c r="L16" s="27">
        <v>0.5625</v>
      </c>
      <c r="M16" s="27">
        <v>0.33333333333333331</v>
      </c>
      <c r="N16" s="27">
        <v>0.70833333333333326</v>
      </c>
      <c r="O16" s="27">
        <v>0.42708333333333331</v>
      </c>
      <c r="P16" s="27">
        <v>0.44124999999999998</v>
      </c>
      <c r="Q16" s="27">
        <v>0.60416666666666663</v>
      </c>
      <c r="R16" s="27">
        <v>0.61833333333333329</v>
      </c>
      <c r="S16" s="27">
        <v>0.52083333333333337</v>
      </c>
      <c r="T16" s="27">
        <v>0.5625</v>
      </c>
      <c r="U16" s="27">
        <v>0.33333333333333331</v>
      </c>
      <c r="V16" s="27">
        <v>0.70833333333333326</v>
      </c>
      <c r="W16" s="27">
        <v>0.42708333333333331</v>
      </c>
      <c r="X16" s="27">
        <v>0.44124999999999998</v>
      </c>
      <c r="Y16" s="27">
        <v>0.60416666666666663</v>
      </c>
      <c r="Z16" s="27">
        <v>0.61833333333333329</v>
      </c>
      <c r="AA16" s="27">
        <v>0.52083333333333337</v>
      </c>
      <c r="AB16" s="27">
        <v>0.5625</v>
      </c>
      <c r="AC16" s="27">
        <v>0.33333333333333331</v>
      </c>
      <c r="AD16" s="27">
        <v>0.70833333333333326</v>
      </c>
      <c r="AE16" s="27">
        <v>0.42708333333333331</v>
      </c>
      <c r="AF16" s="27">
        <v>0.44124999999999998</v>
      </c>
      <c r="AG16" s="27">
        <v>0.60416666666666663</v>
      </c>
      <c r="AH16" s="27">
        <v>0.61833333333333329</v>
      </c>
      <c r="AI16" s="27">
        <v>0.52083333333333337</v>
      </c>
      <c r="AJ16" s="27">
        <v>0.5625</v>
      </c>
      <c r="AK16" s="27">
        <v>0.33333333333333331</v>
      </c>
      <c r="AL16" s="27">
        <v>0.70833333333333326</v>
      </c>
      <c r="AM16" s="27">
        <v>0.42708333333333331</v>
      </c>
      <c r="AN16" s="27">
        <v>0.44124999999999998</v>
      </c>
      <c r="AO16" s="27">
        <v>0.60416666666666663</v>
      </c>
      <c r="AP16" s="27">
        <v>0.61833333333333329</v>
      </c>
      <c r="AQ16" s="27">
        <v>0.52083333333333337</v>
      </c>
      <c r="AR16" s="27">
        <v>0.5625</v>
      </c>
      <c r="AS16" s="27">
        <v>0.33333333333333331</v>
      </c>
      <c r="AT16" s="27">
        <v>0.54166666666666663</v>
      </c>
      <c r="AU16" s="27">
        <v>0.4375</v>
      </c>
      <c r="AV16" s="27">
        <v>0.45166666666666666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</row>
    <row r="17" spans="2:60" x14ac:dyDescent="0.25">
      <c r="B17" s="27" t="s">
        <v>39</v>
      </c>
      <c r="C17" s="28">
        <f t="shared" si="0"/>
        <v>1.8750000000000004</v>
      </c>
      <c r="D17" s="27" t="s">
        <v>2</v>
      </c>
      <c r="E17" s="27">
        <v>0.29166666666666669</v>
      </c>
      <c r="F17" s="27">
        <v>0.6875</v>
      </c>
      <c r="G17" s="27">
        <v>0.38541666666666669</v>
      </c>
      <c r="H17" s="27">
        <v>0.39958333333333335</v>
      </c>
      <c r="I17" s="27">
        <v>0.60416666666666674</v>
      </c>
      <c r="J17" s="27">
        <v>0.6183333333333334</v>
      </c>
      <c r="K17" s="27">
        <v>0.5</v>
      </c>
      <c r="L17" s="27">
        <v>0.54166666666666663</v>
      </c>
      <c r="M17" s="27">
        <v>0.29166666666666669</v>
      </c>
      <c r="N17" s="27">
        <v>0.6875</v>
      </c>
      <c r="O17" s="27">
        <v>0.38541666666666669</v>
      </c>
      <c r="P17" s="27">
        <v>0.39958333333333335</v>
      </c>
      <c r="Q17" s="27">
        <v>0.60416666666666674</v>
      </c>
      <c r="R17" s="27">
        <v>0.6183333333333334</v>
      </c>
      <c r="S17" s="27">
        <v>0.5</v>
      </c>
      <c r="T17" s="27">
        <v>0.54166666666666663</v>
      </c>
      <c r="U17" s="27">
        <v>0.29166666666666669</v>
      </c>
      <c r="V17" s="27">
        <v>0.66666666666666674</v>
      </c>
      <c r="W17" s="27">
        <v>0.38541666666666669</v>
      </c>
      <c r="X17" s="27">
        <v>0.39958333333333335</v>
      </c>
      <c r="Y17" s="27">
        <v>0.60416666666666674</v>
      </c>
      <c r="Z17" s="27">
        <v>0.6183333333333334</v>
      </c>
      <c r="AA17" s="27">
        <v>0.5</v>
      </c>
      <c r="AB17" s="27">
        <v>0.54166666666666663</v>
      </c>
      <c r="AC17" s="27">
        <v>0.29166666666666669</v>
      </c>
      <c r="AD17" s="27">
        <v>0.66666666666666674</v>
      </c>
      <c r="AE17" s="27">
        <v>0.38541666666666669</v>
      </c>
      <c r="AF17" s="27">
        <v>0.39958333333333335</v>
      </c>
      <c r="AG17" s="27">
        <v>0.60416666666666674</v>
      </c>
      <c r="AH17" s="27">
        <v>0.6183333333333334</v>
      </c>
      <c r="AI17" s="27">
        <v>0.5</v>
      </c>
      <c r="AJ17" s="27">
        <v>0.54166666666666663</v>
      </c>
      <c r="AK17" s="27">
        <v>0.29166666666666669</v>
      </c>
      <c r="AL17" s="27">
        <v>0.66666666666666674</v>
      </c>
      <c r="AM17" s="27">
        <v>0.38541666666666669</v>
      </c>
      <c r="AN17" s="27">
        <v>0.39958333333333335</v>
      </c>
      <c r="AO17" s="27">
        <v>0.60416666666666674</v>
      </c>
      <c r="AP17" s="27">
        <v>0.6183333333333334</v>
      </c>
      <c r="AQ17" s="27">
        <v>0.5</v>
      </c>
      <c r="AR17" s="27">
        <v>0.54166666666666663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0.33333333333333331</v>
      </c>
      <c r="BB17" s="27">
        <v>0.5</v>
      </c>
      <c r="BC17" s="27">
        <v>0.39583333333333331</v>
      </c>
      <c r="BD17" s="27">
        <v>0.41</v>
      </c>
      <c r="BE17" s="27">
        <v>0</v>
      </c>
      <c r="BF17" s="27">
        <v>0</v>
      </c>
      <c r="BG17" s="27">
        <v>0</v>
      </c>
      <c r="BH17" s="27">
        <v>0</v>
      </c>
    </row>
    <row r="18" spans="2:60" x14ac:dyDescent="0.25">
      <c r="B18" s="27" t="s">
        <v>44</v>
      </c>
      <c r="C18" s="28">
        <f t="shared" si="0"/>
        <v>1.8750000000000004</v>
      </c>
      <c r="D18" s="27" t="s">
        <v>2</v>
      </c>
      <c r="E18" s="27">
        <v>0.29166666666666669</v>
      </c>
      <c r="F18" s="27">
        <v>0.66666666666666674</v>
      </c>
      <c r="G18" s="27">
        <v>0.375</v>
      </c>
      <c r="H18" s="27">
        <v>0.38916666666666666</v>
      </c>
      <c r="I18" s="27">
        <v>0.59375</v>
      </c>
      <c r="J18" s="27">
        <v>0.60791666666666666</v>
      </c>
      <c r="K18" s="27">
        <v>0.5</v>
      </c>
      <c r="L18" s="27">
        <v>0.54166666666666663</v>
      </c>
      <c r="M18" s="27">
        <v>0.29166666666666669</v>
      </c>
      <c r="N18" s="27">
        <v>0.66666666666666674</v>
      </c>
      <c r="O18" s="27">
        <v>0.375</v>
      </c>
      <c r="P18" s="27">
        <v>0.38916666666666666</v>
      </c>
      <c r="Q18" s="27">
        <v>0.59375</v>
      </c>
      <c r="R18" s="27">
        <v>0.60791666666666666</v>
      </c>
      <c r="S18" s="27">
        <v>0.5</v>
      </c>
      <c r="T18" s="27">
        <v>0.54166666666666663</v>
      </c>
      <c r="U18" s="27">
        <v>0.29166666666666669</v>
      </c>
      <c r="V18" s="27">
        <v>0.66666666666666674</v>
      </c>
      <c r="W18" s="27">
        <v>0.375</v>
      </c>
      <c r="X18" s="27">
        <v>0.38916666666666666</v>
      </c>
      <c r="Y18" s="27">
        <v>0.59375</v>
      </c>
      <c r="Z18" s="27">
        <v>0.60791666666666666</v>
      </c>
      <c r="AA18" s="27">
        <v>0.5</v>
      </c>
      <c r="AB18" s="27">
        <v>0.54166666666666663</v>
      </c>
      <c r="AC18" s="27">
        <v>0.29166666666666669</v>
      </c>
      <c r="AD18" s="27">
        <v>0.66666666666666674</v>
      </c>
      <c r="AE18" s="27">
        <v>0.375</v>
      </c>
      <c r="AF18" s="27">
        <v>0.38916666666666666</v>
      </c>
      <c r="AG18" s="27">
        <v>0.59375</v>
      </c>
      <c r="AH18" s="27">
        <v>0.60791666666666666</v>
      </c>
      <c r="AI18" s="27">
        <v>0.5</v>
      </c>
      <c r="AJ18" s="27">
        <v>0.54166666666666663</v>
      </c>
      <c r="AK18" s="27">
        <v>0.29166666666666669</v>
      </c>
      <c r="AL18" s="27">
        <v>0.66666666666666674</v>
      </c>
      <c r="AM18" s="27">
        <v>0.375</v>
      </c>
      <c r="AN18" s="27">
        <v>0.38916666666666666</v>
      </c>
      <c r="AO18" s="27">
        <v>0.59375</v>
      </c>
      <c r="AP18" s="27">
        <v>0.60791666666666666</v>
      </c>
      <c r="AQ18" s="27">
        <v>0.5</v>
      </c>
      <c r="AR18" s="27">
        <v>0.54166666666666663</v>
      </c>
      <c r="AS18" s="27">
        <v>0.375</v>
      </c>
      <c r="AT18" s="27">
        <v>0.58333333333333337</v>
      </c>
      <c r="AU18" s="27">
        <v>0.46875</v>
      </c>
      <c r="AV18" s="27">
        <v>0.48291666666666666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</row>
    <row r="19" spans="2:60" x14ac:dyDescent="0.25">
      <c r="B19" s="27" t="s">
        <v>52</v>
      </c>
      <c r="C19" s="28">
        <f t="shared" si="0"/>
        <v>1.8750000000000004</v>
      </c>
      <c r="D19" s="27" t="s">
        <v>2</v>
      </c>
      <c r="E19" s="27">
        <v>0.29166666666666669</v>
      </c>
      <c r="F19" s="27">
        <v>0.66666666666666674</v>
      </c>
      <c r="G19" s="27">
        <v>0.38541666666666669</v>
      </c>
      <c r="H19" s="27">
        <v>0.39958333333333335</v>
      </c>
      <c r="I19" s="27">
        <v>0.60416666666666674</v>
      </c>
      <c r="J19" s="27">
        <v>0.6183333333333334</v>
      </c>
      <c r="K19" s="27">
        <v>0.5</v>
      </c>
      <c r="L19" s="27">
        <v>0.54166666666666663</v>
      </c>
      <c r="M19" s="27">
        <v>0.29166666666666669</v>
      </c>
      <c r="N19" s="27">
        <v>0.66666666666666674</v>
      </c>
      <c r="O19" s="27">
        <v>0.38541666666666669</v>
      </c>
      <c r="P19" s="27">
        <v>0.39958333333333335</v>
      </c>
      <c r="Q19" s="27">
        <v>0.60416666666666674</v>
      </c>
      <c r="R19" s="27">
        <v>0.6183333333333334</v>
      </c>
      <c r="S19" s="27">
        <v>0.5</v>
      </c>
      <c r="T19" s="27">
        <v>0.54166666666666663</v>
      </c>
      <c r="U19" s="27">
        <v>0.29166666666666669</v>
      </c>
      <c r="V19" s="27">
        <v>0.66666666666666674</v>
      </c>
      <c r="W19" s="27">
        <v>0.38541666666666669</v>
      </c>
      <c r="X19" s="27">
        <v>0.39958333333333335</v>
      </c>
      <c r="Y19" s="27">
        <v>0.60416666666666674</v>
      </c>
      <c r="Z19" s="27">
        <v>0.6183333333333334</v>
      </c>
      <c r="AA19" s="27">
        <v>0.5</v>
      </c>
      <c r="AB19" s="27">
        <v>0.54166666666666663</v>
      </c>
      <c r="AC19" s="27">
        <v>0.29166666666666669</v>
      </c>
      <c r="AD19" s="27">
        <v>0.66666666666666674</v>
      </c>
      <c r="AE19" s="27">
        <v>0.38541666666666669</v>
      </c>
      <c r="AF19" s="27">
        <v>0.39958333333333335</v>
      </c>
      <c r="AG19" s="27">
        <v>0.60416666666666674</v>
      </c>
      <c r="AH19" s="27">
        <v>0.6183333333333334</v>
      </c>
      <c r="AI19" s="27">
        <v>0.5</v>
      </c>
      <c r="AJ19" s="27">
        <v>0.54166666666666663</v>
      </c>
      <c r="AK19" s="27">
        <v>0.29166666666666669</v>
      </c>
      <c r="AL19" s="27">
        <v>0.66666666666666674</v>
      </c>
      <c r="AM19" s="27">
        <v>0.38541666666666669</v>
      </c>
      <c r="AN19" s="27">
        <v>0.39958333333333335</v>
      </c>
      <c r="AO19" s="27">
        <v>0.60416666666666674</v>
      </c>
      <c r="AP19" s="27">
        <v>0.6183333333333334</v>
      </c>
      <c r="AQ19" s="27">
        <v>0.5</v>
      </c>
      <c r="AR19" s="27">
        <v>0.54166666666666663</v>
      </c>
      <c r="AS19" s="27">
        <v>0.29166666666666669</v>
      </c>
      <c r="AT19" s="27">
        <v>0.5</v>
      </c>
      <c r="AU19" s="27">
        <v>0.38541666666666669</v>
      </c>
      <c r="AV19" s="27">
        <v>0.39958333333333335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</row>
    <row r="20" spans="2:60" x14ac:dyDescent="0.25">
      <c r="B20" s="34" t="s">
        <v>33</v>
      </c>
      <c r="C20" s="33">
        <f t="shared" si="0"/>
        <v>1.6666666666666672</v>
      </c>
      <c r="D20" s="27" t="s">
        <v>2</v>
      </c>
      <c r="E20" s="27">
        <v>0.41666666666666669</v>
      </c>
      <c r="F20" s="27">
        <v>0.79166666666666674</v>
      </c>
      <c r="G20" s="27">
        <v>0.51041666666666674</v>
      </c>
      <c r="H20" s="27">
        <v>0.5245833333333334</v>
      </c>
      <c r="I20" s="27">
        <v>0.73958333333333337</v>
      </c>
      <c r="J20" s="27">
        <v>0.75375000000000003</v>
      </c>
      <c r="K20" s="27">
        <v>0.58333333333333337</v>
      </c>
      <c r="L20" s="27">
        <v>0.625</v>
      </c>
      <c r="M20" s="27">
        <v>0.41666666666666669</v>
      </c>
      <c r="N20" s="27">
        <v>0.79166666666666674</v>
      </c>
      <c r="O20" s="27">
        <v>0.51041666666666674</v>
      </c>
      <c r="P20" s="27">
        <v>0.5245833333333334</v>
      </c>
      <c r="Q20" s="27">
        <v>0.72916666666666674</v>
      </c>
      <c r="R20" s="27">
        <v>0.7433333333333334</v>
      </c>
      <c r="S20" s="27">
        <v>0.58333333333333337</v>
      </c>
      <c r="T20" s="27">
        <v>0.625</v>
      </c>
      <c r="U20" s="27">
        <v>0.41666666666666669</v>
      </c>
      <c r="V20" s="27">
        <v>0.79166666666666674</v>
      </c>
      <c r="W20" s="27">
        <v>0.51041666666666674</v>
      </c>
      <c r="X20" s="27">
        <v>0.5245833333333334</v>
      </c>
      <c r="Y20" s="27">
        <v>0.72916666666666674</v>
      </c>
      <c r="Z20" s="27">
        <v>0.7433333333333334</v>
      </c>
      <c r="AA20" s="27">
        <v>0.58333333333333337</v>
      </c>
      <c r="AB20" s="27">
        <v>0.625</v>
      </c>
      <c r="AC20" s="27">
        <v>0.41666666666666669</v>
      </c>
      <c r="AD20" s="27">
        <v>0.79166666666666674</v>
      </c>
      <c r="AE20" s="27">
        <v>0.51041666666666674</v>
      </c>
      <c r="AF20" s="27">
        <v>0.5245833333333334</v>
      </c>
      <c r="AG20" s="27">
        <v>0.72916666666666674</v>
      </c>
      <c r="AH20" s="27">
        <v>0.7433333333333334</v>
      </c>
      <c r="AI20" s="27">
        <v>0.58333333333333337</v>
      </c>
      <c r="AJ20" s="27">
        <v>0.625</v>
      </c>
      <c r="AK20" s="27">
        <v>0.41666666666666669</v>
      </c>
      <c r="AL20" s="27">
        <v>0.79166666666666674</v>
      </c>
      <c r="AM20" s="27">
        <v>0.51041666666666674</v>
      </c>
      <c r="AN20" s="27">
        <v>0.5245833333333334</v>
      </c>
      <c r="AO20" s="27">
        <v>0.72916666666666674</v>
      </c>
      <c r="AP20" s="27">
        <v>0.7433333333333334</v>
      </c>
      <c r="AQ20" s="27">
        <v>0.58333333333333337</v>
      </c>
      <c r="AR20" s="27">
        <v>0.625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</row>
    <row r="21" spans="2:60" x14ac:dyDescent="0.25">
      <c r="B21" s="27" t="s">
        <v>46</v>
      </c>
      <c r="C21" s="28">
        <f t="shared" si="0"/>
        <v>1.8750000000000004</v>
      </c>
      <c r="D21" s="27" t="s">
        <v>2</v>
      </c>
      <c r="E21" s="27">
        <v>0.41666666666666669</v>
      </c>
      <c r="F21" s="27">
        <v>0.79166666666666674</v>
      </c>
      <c r="G21" s="27">
        <v>0.51041666666666674</v>
      </c>
      <c r="H21" s="27">
        <v>0.5245833333333334</v>
      </c>
      <c r="I21" s="27">
        <v>0.72916666666666674</v>
      </c>
      <c r="J21" s="27">
        <v>0.7433333333333334</v>
      </c>
      <c r="K21" s="27">
        <v>0.58333333333333337</v>
      </c>
      <c r="L21" s="27">
        <v>0.625</v>
      </c>
      <c r="M21" s="27">
        <v>0.41666666666666669</v>
      </c>
      <c r="N21" s="27">
        <v>0.79166666666666674</v>
      </c>
      <c r="O21" s="27">
        <v>0.51041666666666674</v>
      </c>
      <c r="P21" s="27">
        <v>0.5245833333333334</v>
      </c>
      <c r="Q21" s="27">
        <v>0.72916666666666674</v>
      </c>
      <c r="R21" s="27">
        <v>0.7433333333333334</v>
      </c>
      <c r="S21" s="27">
        <v>0.58333333333333337</v>
      </c>
      <c r="T21" s="27">
        <v>0.625</v>
      </c>
      <c r="U21" s="27">
        <v>0.41666666666666669</v>
      </c>
      <c r="V21" s="27">
        <v>0.79166666666666674</v>
      </c>
      <c r="W21" s="27">
        <v>0.51041666666666674</v>
      </c>
      <c r="X21" s="27">
        <v>0.5245833333333334</v>
      </c>
      <c r="Y21" s="27">
        <v>0.72916666666666674</v>
      </c>
      <c r="Z21" s="27">
        <v>0.7433333333333334</v>
      </c>
      <c r="AA21" s="27">
        <v>0.58333333333333337</v>
      </c>
      <c r="AB21" s="27">
        <v>0.625</v>
      </c>
      <c r="AC21" s="27">
        <v>0.41666666666666669</v>
      </c>
      <c r="AD21" s="27">
        <v>0.79166666666666674</v>
      </c>
      <c r="AE21" s="27">
        <v>0.51041666666666674</v>
      </c>
      <c r="AF21" s="27">
        <v>0.5245833333333334</v>
      </c>
      <c r="AG21" s="27">
        <v>0.72916666666666674</v>
      </c>
      <c r="AH21" s="27">
        <v>0.7433333333333334</v>
      </c>
      <c r="AI21" s="27">
        <v>0.58333333333333337</v>
      </c>
      <c r="AJ21" s="27">
        <v>0.625</v>
      </c>
      <c r="AK21" s="27">
        <v>0.41666666666666669</v>
      </c>
      <c r="AL21" s="27">
        <v>0.79166666666666674</v>
      </c>
      <c r="AM21" s="27">
        <v>0.51041666666666674</v>
      </c>
      <c r="AN21" s="27">
        <v>0.5245833333333334</v>
      </c>
      <c r="AO21" s="27">
        <v>0.72916666666666674</v>
      </c>
      <c r="AP21" s="27">
        <v>0.7433333333333334</v>
      </c>
      <c r="AQ21" s="27">
        <v>0.58333333333333337</v>
      </c>
      <c r="AR21" s="27">
        <v>0.625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27">
        <v>0</v>
      </c>
      <c r="AZ21" s="27">
        <v>0</v>
      </c>
      <c r="BA21" s="27">
        <v>0.33333333333333331</v>
      </c>
      <c r="BB21" s="27">
        <v>0.54166666666666663</v>
      </c>
      <c r="BC21" s="27">
        <v>0.41666666666666669</v>
      </c>
      <c r="BD21" s="27">
        <v>0.43083333333333335</v>
      </c>
      <c r="BE21" s="27">
        <v>0</v>
      </c>
      <c r="BF21" s="27">
        <v>0</v>
      </c>
      <c r="BG21" s="27">
        <v>0</v>
      </c>
      <c r="BH21" s="27">
        <v>0</v>
      </c>
    </row>
    <row r="22" spans="2:60" x14ac:dyDescent="0.25">
      <c r="B22" s="27" t="s">
        <v>49</v>
      </c>
      <c r="C22" s="28">
        <f t="shared" si="0"/>
        <v>1.8750000000000004</v>
      </c>
      <c r="D22" s="27" t="s">
        <v>2</v>
      </c>
      <c r="E22" s="27">
        <v>0.41666666666666669</v>
      </c>
      <c r="F22" s="27">
        <v>0.79166666666666674</v>
      </c>
      <c r="G22" s="27">
        <v>0.52083333333333337</v>
      </c>
      <c r="H22" s="27">
        <v>0.53500000000000003</v>
      </c>
      <c r="I22" s="27">
        <v>0.73958333333333337</v>
      </c>
      <c r="J22" s="27">
        <v>0.75375000000000003</v>
      </c>
      <c r="K22" s="27">
        <v>0.58333333333333337</v>
      </c>
      <c r="L22" s="27">
        <v>0.625</v>
      </c>
      <c r="M22" s="27">
        <v>0.41666666666666669</v>
      </c>
      <c r="N22" s="27">
        <v>0.79166666666666674</v>
      </c>
      <c r="O22" s="27">
        <v>0.52083333333333337</v>
      </c>
      <c r="P22" s="27">
        <v>0.53500000000000003</v>
      </c>
      <c r="Q22" s="27">
        <v>0.73958333333333337</v>
      </c>
      <c r="R22" s="27">
        <v>0.75375000000000003</v>
      </c>
      <c r="S22" s="27">
        <v>0.58333333333333337</v>
      </c>
      <c r="T22" s="27">
        <v>0.625</v>
      </c>
      <c r="U22" s="27">
        <v>0.41666666666666669</v>
      </c>
      <c r="V22" s="27">
        <v>0.79166666666666674</v>
      </c>
      <c r="W22" s="27">
        <v>0.52083333333333337</v>
      </c>
      <c r="X22" s="27">
        <v>0.53500000000000003</v>
      </c>
      <c r="Y22" s="27">
        <v>0.73958333333333337</v>
      </c>
      <c r="Z22" s="27">
        <v>0.75375000000000003</v>
      </c>
      <c r="AA22" s="27">
        <v>0.58333333333333337</v>
      </c>
      <c r="AB22" s="27">
        <v>0.625</v>
      </c>
      <c r="AC22" s="27">
        <v>0.41666666666666669</v>
      </c>
      <c r="AD22" s="27">
        <v>0.79166666666666674</v>
      </c>
      <c r="AE22" s="27">
        <v>0.52083333333333337</v>
      </c>
      <c r="AF22" s="27">
        <v>0.53500000000000003</v>
      </c>
      <c r="AG22" s="27">
        <v>0.73958333333333337</v>
      </c>
      <c r="AH22" s="27">
        <v>0.75375000000000003</v>
      </c>
      <c r="AI22" s="27">
        <v>0.58333333333333337</v>
      </c>
      <c r="AJ22" s="27">
        <v>0.625</v>
      </c>
      <c r="AK22" s="27">
        <v>0.41666666666666669</v>
      </c>
      <c r="AL22" s="27">
        <v>0.79166666666666674</v>
      </c>
      <c r="AM22" s="27">
        <v>0.52083333333333337</v>
      </c>
      <c r="AN22" s="27">
        <v>0.53500000000000003</v>
      </c>
      <c r="AO22" s="27">
        <v>0.73958333333333337</v>
      </c>
      <c r="AP22" s="27">
        <v>0.75375000000000003</v>
      </c>
      <c r="AQ22" s="27">
        <v>0.58333333333333337</v>
      </c>
      <c r="AR22" s="27">
        <v>0.625</v>
      </c>
      <c r="AS22" s="27">
        <v>0.25</v>
      </c>
      <c r="AT22" s="27">
        <v>0.45833333333333337</v>
      </c>
      <c r="AU22" s="27">
        <v>0.375</v>
      </c>
      <c r="AV22" s="27">
        <v>0.38916666666666666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</row>
    <row r="23" spans="2:60" x14ac:dyDescent="0.25">
      <c r="B23" s="27" t="s">
        <v>38</v>
      </c>
      <c r="C23" s="28">
        <f t="shared" si="0"/>
        <v>1.8749999999999998</v>
      </c>
      <c r="D23" s="27" t="s">
        <v>2</v>
      </c>
      <c r="E23" s="27">
        <v>0.33333333333333331</v>
      </c>
      <c r="F23" s="27">
        <v>0.70833333333333326</v>
      </c>
      <c r="G23" s="27">
        <v>0.4375</v>
      </c>
      <c r="H23" s="27">
        <v>0.45166666666666666</v>
      </c>
      <c r="I23" s="27">
        <v>0.61458333333333337</v>
      </c>
      <c r="J23" s="27">
        <v>0.62875000000000003</v>
      </c>
      <c r="K23" s="27">
        <v>0.5</v>
      </c>
      <c r="L23" s="27">
        <v>0.54166666666666663</v>
      </c>
      <c r="M23" s="27">
        <v>0.33333333333333331</v>
      </c>
      <c r="N23" s="27">
        <v>0.70833333333333326</v>
      </c>
      <c r="O23" s="27">
        <v>0.4375</v>
      </c>
      <c r="P23" s="27">
        <v>0.45166666666666666</v>
      </c>
      <c r="Q23" s="27">
        <v>0.61458333333333337</v>
      </c>
      <c r="R23" s="27">
        <v>0.62875000000000003</v>
      </c>
      <c r="S23" s="27">
        <v>0.5</v>
      </c>
      <c r="T23" s="27">
        <v>0.54166666666666663</v>
      </c>
      <c r="U23" s="27">
        <v>0.33333333333333331</v>
      </c>
      <c r="V23" s="27">
        <v>0.70833333333333326</v>
      </c>
      <c r="W23" s="27">
        <v>0.4375</v>
      </c>
      <c r="X23" s="27">
        <v>0.45166666666666666</v>
      </c>
      <c r="Y23" s="27">
        <v>0.61458333333333337</v>
      </c>
      <c r="Z23" s="27">
        <v>0.62875000000000003</v>
      </c>
      <c r="AA23" s="27">
        <v>0.5</v>
      </c>
      <c r="AB23" s="27">
        <v>0.54166666666666663</v>
      </c>
      <c r="AC23" s="27">
        <v>0.33333333333333331</v>
      </c>
      <c r="AD23" s="27">
        <v>0.70833333333333326</v>
      </c>
      <c r="AE23" s="27">
        <v>0.4375</v>
      </c>
      <c r="AF23" s="27">
        <v>0.45166666666666666</v>
      </c>
      <c r="AG23" s="27">
        <v>0.61458333333333337</v>
      </c>
      <c r="AH23" s="27">
        <v>0.62875000000000003</v>
      </c>
      <c r="AI23" s="27">
        <v>0.5</v>
      </c>
      <c r="AJ23" s="27">
        <v>0.54166666666666663</v>
      </c>
      <c r="AK23" s="27">
        <v>0.33333333333333331</v>
      </c>
      <c r="AL23" s="27">
        <v>0.70833333333333326</v>
      </c>
      <c r="AM23" s="27">
        <v>0.4375</v>
      </c>
      <c r="AN23" s="27">
        <v>0.45166666666666666</v>
      </c>
      <c r="AO23" s="27">
        <v>0.61458333333333337</v>
      </c>
      <c r="AP23" s="27">
        <v>0.62875000000000003</v>
      </c>
      <c r="AQ23" s="27">
        <v>0.5</v>
      </c>
      <c r="AR23" s="27">
        <v>0.54166666666666663</v>
      </c>
      <c r="AS23" s="27">
        <v>0.29166666666666669</v>
      </c>
      <c r="AT23" s="27">
        <v>0.5</v>
      </c>
      <c r="AU23" s="27">
        <v>0.40625</v>
      </c>
      <c r="AV23" s="27">
        <v>0.42041666666666666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</row>
    <row r="24" spans="2:60" x14ac:dyDescent="0.25">
      <c r="B24" s="27" t="s">
        <v>50</v>
      </c>
      <c r="C24" s="28">
        <f t="shared" si="0"/>
        <v>1.8749999999999998</v>
      </c>
      <c r="D24" s="27" t="s">
        <v>2</v>
      </c>
      <c r="E24" s="27">
        <v>0.33333333333333331</v>
      </c>
      <c r="F24" s="27">
        <v>0.70833333333333326</v>
      </c>
      <c r="G24" s="27">
        <v>0.4375</v>
      </c>
      <c r="H24" s="27">
        <v>0.45166666666666666</v>
      </c>
      <c r="I24" s="27">
        <v>0.61458333333333337</v>
      </c>
      <c r="J24" s="27">
        <v>0.62875000000000003</v>
      </c>
      <c r="K24" s="27">
        <v>0.5</v>
      </c>
      <c r="L24" s="27">
        <v>0.54166666666666663</v>
      </c>
      <c r="M24" s="27">
        <v>0.33333333333333331</v>
      </c>
      <c r="N24" s="27">
        <v>0.70833333333333326</v>
      </c>
      <c r="O24" s="27">
        <v>0.4375</v>
      </c>
      <c r="P24" s="27">
        <v>0.45166666666666666</v>
      </c>
      <c r="Q24" s="27">
        <v>0.61458333333333337</v>
      </c>
      <c r="R24" s="27">
        <v>0.62875000000000003</v>
      </c>
      <c r="S24" s="27">
        <v>0.5</v>
      </c>
      <c r="T24" s="27">
        <v>0.54166666666666663</v>
      </c>
      <c r="U24" s="27">
        <v>0.33333333333333331</v>
      </c>
      <c r="V24" s="27">
        <v>0.70833333333333326</v>
      </c>
      <c r="W24" s="27">
        <v>0.4375</v>
      </c>
      <c r="X24" s="27">
        <v>0.45166666666666666</v>
      </c>
      <c r="Y24" s="27">
        <v>0.61458333333333337</v>
      </c>
      <c r="Z24" s="27">
        <v>0.62875000000000003</v>
      </c>
      <c r="AA24" s="27">
        <v>0.5</v>
      </c>
      <c r="AB24" s="27">
        <v>0.54166666666666663</v>
      </c>
      <c r="AC24" s="27">
        <v>0.33333333333333331</v>
      </c>
      <c r="AD24" s="27">
        <v>0.70833333333333326</v>
      </c>
      <c r="AE24" s="27">
        <v>0.4375</v>
      </c>
      <c r="AF24" s="27">
        <v>0.45166666666666666</v>
      </c>
      <c r="AG24" s="27">
        <v>0.61458333333333337</v>
      </c>
      <c r="AH24" s="27">
        <v>0.62875000000000003</v>
      </c>
      <c r="AI24" s="27">
        <v>0.5</v>
      </c>
      <c r="AJ24" s="27">
        <v>0.54166666666666663</v>
      </c>
      <c r="AK24" s="27">
        <v>0.33333333333333331</v>
      </c>
      <c r="AL24" s="27">
        <v>0.70833333333333326</v>
      </c>
      <c r="AM24" s="27">
        <v>0.4375</v>
      </c>
      <c r="AN24" s="27">
        <v>0.45166666666666666</v>
      </c>
      <c r="AO24" s="27">
        <v>0.61458333333333337</v>
      </c>
      <c r="AP24" s="27">
        <v>0.62875000000000003</v>
      </c>
      <c r="AQ24" s="27">
        <v>0.5</v>
      </c>
      <c r="AR24" s="27">
        <v>0.54166666666666663</v>
      </c>
      <c r="AS24" s="27">
        <v>0.29166666666666669</v>
      </c>
      <c r="AT24" s="27">
        <v>0.5</v>
      </c>
      <c r="AU24" s="27">
        <v>0.39583333333333331</v>
      </c>
      <c r="AV24" s="27">
        <v>0.41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</row>
    <row r="25" spans="2:60" x14ac:dyDescent="0.25">
      <c r="B25" s="27" t="s">
        <v>53</v>
      </c>
      <c r="C25" s="28">
        <f t="shared" si="0"/>
        <v>1.875</v>
      </c>
      <c r="D25" s="27" t="s">
        <v>2</v>
      </c>
      <c r="E25" s="27">
        <v>0.33333333333333331</v>
      </c>
      <c r="F25" s="27">
        <v>0.70833333333333326</v>
      </c>
      <c r="G25" s="27">
        <v>0.39583333333333331</v>
      </c>
      <c r="H25" s="27">
        <v>0.41</v>
      </c>
      <c r="I25" s="27">
        <v>0.57291666666666663</v>
      </c>
      <c r="J25" s="27">
        <v>0.58708333333333329</v>
      </c>
      <c r="K25" s="27">
        <v>0.5</v>
      </c>
      <c r="L25" s="27">
        <v>0.54166666666666663</v>
      </c>
      <c r="M25" s="27">
        <v>0.33333333333333331</v>
      </c>
      <c r="N25" s="27">
        <v>0.70833333333333326</v>
      </c>
      <c r="O25" s="27">
        <v>0.39583333333333331</v>
      </c>
      <c r="P25" s="27">
        <v>0.41</v>
      </c>
      <c r="Q25" s="27">
        <v>0.57291666666666663</v>
      </c>
      <c r="R25" s="27">
        <v>0.58708333333333329</v>
      </c>
      <c r="S25" s="27">
        <v>0.5</v>
      </c>
      <c r="T25" s="27">
        <v>0.54166666666666663</v>
      </c>
      <c r="U25" s="27">
        <v>0.33333333333333331</v>
      </c>
      <c r="V25" s="27">
        <v>0.70833333333333326</v>
      </c>
      <c r="W25" s="27">
        <v>0.39583333333333331</v>
      </c>
      <c r="X25" s="27">
        <v>0.41</v>
      </c>
      <c r="Y25" s="27">
        <v>0.57291666666666663</v>
      </c>
      <c r="Z25" s="27">
        <v>0.58708333333333329</v>
      </c>
      <c r="AA25" s="27">
        <v>0.5</v>
      </c>
      <c r="AB25" s="27">
        <v>0.54166666666666663</v>
      </c>
      <c r="AC25" s="27">
        <v>0.33333333333333331</v>
      </c>
      <c r="AD25" s="27">
        <v>0.70833333333333326</v>
      </c>
      <c r="AE25" s="27">
        <v>0.39583333333333331</v>
      </c>
      <c r="AF25" s="27">
        <v>0.41</v>
      </c>
      <c r="AG25" s="27">
        <v>0.57291666666666663</v>
      </c>
      <c r="AH25" s="27">
        <v>0.58708333333333329</v>
      </c>
      <c r="AI25" s="27">
        <v>0.5</v>
      </c>
      <c r="AJ25" s="27">
        <v>0.54166666666666663</v>
      </c>
      <c r="AK25" s="27">
        <v>0.33333333333333331</v>
      </c>
      <c r="AL25" s="27">
        <v>0.70833333333333326</v>
      </c>
      <c r="AM25" s="27">
        <v>0.39583333333333331</v>
      </c>
      <c r="AN25" s="27">
        <v>0.41</v>
      </c>
      <c r="AO25" s="27">
        <v>0.57291666666666663</v>
      </c>
      <c r="AP25" s="27">
        <v>0.58708333333333329</v>
      </c>
      <c r="AQ25" s="27">
        <v>0.5</v>
      </c>
      <c r="AR25" s="27">
        <v>0.54166666666666663</v>
      </c>
      <c r="AS25" s="27">
        <v>0.5</v>
      </c>
      <c r="AT25" s="27">
        <v>0.70833333333333337</v>
      </c>
      <c r="AU25" s="27">
        <v>0.59375</v>
      </c>
      <c r="AV25" s="27">
        <v>0.60791666666666666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0</v>
      </c>
      <c r="BG25" s="27">
        <v>0</v>
      </c>
      <c r="BH25" s="27">
        <v>0</v>
      </c>
    </row>
    <row r="26" spans="2:60" x14ac:dyDescent="0.25">
      <c r="B26" s="27" t="s">
        <v>40</v>
      </c>
      <c r="C26" s="28">
        <f t="shared" si="0"/>
        <v>1.8749999999999998</v>
      </c>
      <c r="D26" s="27" t="s">
        <v>2</v>
      </c>
      <c r="E26" s="27">
        <v>0.33333333333333331</v>
      </c>
      <c r="F26" s="27">
        <v>0.70833333333333326</v>
      </c>
      <c r="G26" s="27">
        <v>0.40625</v>
      </c>
      <c r="H26" s="27">
        <v>0.42041666666666666</v>
      </c>
      <c r="I26" s="27">
        <v>0.58333333333333337</v>
      </c>
      <c r="J26" s="27">
        <v>0.59750000000000003</v>
      </c>
      <c r="K26" s="27">
        <v>0.52083333333333337</v>
      </c>
      <c r="L26" s="27">
        <v>0.5625</v>
      </c>
      <c r="M26" s="27">
        <v>0.33333333333333331</v>
      </c>
      <c r="N26" s="27">
        <v>0.70833333333333326</v>
      </c>
      <c r="O26" s="27">
        <v>0.40625</v>
      </c>
      <c r="P26" s="27">
        <v>0.42041666666666666</v>
      </c>
      <c r="Q26" s="27">
        <v>0.58333333333333337</v>
      </c>
      <c r="R26" s="27">
        <v>0.59750000000000003</v>
      </c>
      <c r="S26" s="27">
        <v>0.52083333333333337</v>
      </c>
      <c r="T26" s="27">
        <v>0.5625</v>
      </c>
      <c r="U26" s="27">
        <v>0.33333333333333331</v>
      </c>
      <c r="V26" s="27">
        <v>0.70833333333333326</v>
      </c>
      <c r="W26" s="27">
        <v>0.40625</v>
      </c>
      <c r="X26" s="27">
        <v>0.42041666666666666</v>
      </c>
      <c r="Y26" s="27">
        <v>0.58333333333333337</v>
      </c>
      <c r="Z26" s="27">
        <v>0.59750000000000003</v>
      </c>
      <c r="AA26" s="27">
        <v>0.52083333333333337</v>
      </c>
      <c r="AB26" s="27">
        <v>0.5625</v>
      </c>
      <c r="AC26" s="27">
        <v>0.33333333333333331</v>
      </c>
      <c r="AD26" s="27">
        <v>0.70833333333333326</v>
      </c>
      <c r="AE26" s="27">
        <v>0.40625</v>
      </c>
      <c r="AF26" s="27">
        <v>0.42041666666666666</v>
      </c>
      <c r="AG26" s="27">
        <v>0.58333333333333337</v>
      </c>
      <c r="AH26" s="27">
        <v>0.59750000000000003</v>
      </c>
      <c r="AI26" s="27">
        <v>0.52083333333333337</v>
      </c>
      <c r="AJ26" s="27">
        <v>0.5625</v>
      </c>
      <c r="AK26" s="27">
        <v>0.33333333333333331</v>
      </c>
      <c r="AL26" s="27">
        <v>0.70833333333333326</v>
      </c>
      <c r="AM26" s="27">
        <v>0.40625</v>
      </c>
      <c r="AN26" s="27">
        <v>0.42041666666666666</v>
      </c>
      <c r="AO26" s="27">
        <v>0.58333333333333337</v>
      </c>
      <c r="AP26" s="27">
        <v>0.59750000000000003</v>
      </c>
      <c r="AQ26" s="27">
        <v>0.52083333333333337</v>
      </c>
      <c r="AR26" s="27">
        <v>0.5625</v>
      </c>
      <c r="AS26" s="27">
        <v>0.33333333333333331</v>
      </c>
      <c r="AT26" s="27">
        <v>0.54166666666666663</v>
      </c>
      <c r="AU26" s="27">
        <v>0.46875</v>
      </c>
      <c r="AV26" s="27">
        <v>0.48291666666666666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</row>
    <row r="27" spans="2:60" x14ac:dyDescent="0.25">
      <c r="B27" s="27" t="s">
        <v>41</v>
      </c>
      <c r="C27" s="28">
        <f t="shared" si="0"/>
        <v>1.8750000000000002</v>
      </c>
      <c r="D27" s="27" t="s">
        <v>2</v>
      </c>
      <c r="E27" s="27">
        <v>0.375</v>
      </c>
      <c r="F27" s="27">
        <v>0.75</v>
      </c>
      <c r="G27" s="27">
        <v>0.48958333333333331</v>
      </c>
      <c r="H27" s="27">
        <v>0.50375000000000003</v>
      </c>
      <c r="I27" s="27">
        <v>0.66666666666666663</v>
      </c>
      <c r="J27" s="27">
        <v>0.68083333333333329</v>
      </c>
      <c r="K27" s="27">
        <v>0.54166666666666663</v>
      </c>
      <c r="L27" s="27">
        <v>0.58333333333333326</v>
      </c>
      <c r="M27" s="27">
        <v>0.375</v>
      </c>
      <c r="N27" s="27">
        <v>0.75</v>
      </c>
      <c r="O27" s="27">
        <v>0.48958333333333331</v>
      </c>
      <c r="P27" s="27">
        <v>0.50375000000000003</v>
      </c>
      <c r="Q27" s="27">
        <v>0.66666666666666663</v>
      </c>
      <c r="R27" s="27">
        <v>0.68083333333333329</v>
      </c>
      <c r="S27" s="27">
        <v>0.54166666666666663</v>
      </c>
      <c r="T27" s="27">
        <v>0.58333333333333326</v>
      </c>
      <c r="U27" s="27">
        <v>0.375</v>
      </c>
      <c r="V27" s="27">
        <v>0.75</v>
      </c>
      <c r="W27" s="27">
        <v>0.48958333333333331</v>
      </c>
      <c r="X27" s="27">
        <v>0.50375000000000003</v>
      </c>
      <c r="Y27" s="27">
        <v>0.66666666666666663</v>
      </c>
      <c r="Z27" s="27">
        <v>0.68083333333333329</v>
      </c>
      <c r="AA27" s="27">
        <v>0.54166666666666663</v>
      </c>
      <c r="AB27" s="27">
        <v>0.58333333333333326</v>
      </c>
      <c r="AC27" s="27">
        <v>0.375</v>
      </c>
      <c r="AD27" s="27">
        <v>0.75</v>
      </c>
      <c r="AE27" s="27">
        <v>0.48958333333333331</v>
      </c>
      <c r="AF27" s="27">
        <v>0.50375000000000003</v>
      </c>
      <c r="AG27" s="27">
        <v>0.66666666666666663</v>
      </c>
      <c r="AH27" s="27">
        <v>0.68083333333333329</v>
      </c>
      <c r="AI27" s="27">
        <v>0.54166666666666663</v>
      </c>
      <c r="AJ27" s="27">
        <v>0.58333333333333326</v>
      </c>
      <c r="AK27" s="27">
        <v>0.375</v>
      </c>
      <c r="AL27" s="27">
        <v>0.75</v>
      </c>
      <c r="AM27" s="27">
        <v>0.48958333333333331</v>
      </c>
      <c r="AN27" s="27">
        <v>0.50375000000000003</v>
      </c>
      <c r="AO27" s="27">
        <v>0.66666666666666663</v>
      </c>
      <c r="AP27" s="27">
        <v>0.68083333333333329</v>
      </c>
      <c r="AQ27" s="27">
        <v>0.54166666666666663</v>
      </c>
      <c r="AR27" s="27">
        <v>0.58333333333333326</v>
      </c>
      <c r="AS27" s="27">
        <v>0.33333333333333331</v>
      </c>
      <c r="AT27" s="27">
        <v>0.54166666666666663</v>
      </c>
      <c r="AU27" s="27">
        <v>0.4375</v>
      </c>
      <c r="AV27" s="27">
        <v>0.45166666666666666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</v>
      </c>
      <c r="BG27" s="27">
        <v>0</v>
      </c>
      <c r="BH27" s="27">
        <v>0</v>
      </c>
    </row>
    <row r="28" spans="2:60" x14ac:dyDescent="0.25">
      <c r="B28" s="27" t="s">
        <v>54</v>
      </c>
      <c r="C28" s="28">
        <f t="shared" si="0"/>
        <v>1.875</v>
      </c>
      <c r="D28" s="27" t="s">
        <v>2</v>
      </c>
      <c r="E28" s="27">
        <v>0.33333333333333331</v>
      </c>
      <c r="F28" s="27">
        <v>0.70833333333333326</v>
      </c>
      <c r="G28" s="27">
        <v>0.42708333333333331</v>
      </c>
      <c r="H28" s="27">
        <v>0.44124999999999998</v>
      </c>
      <c r="I28" s="27">
        <v>0.60416666666666663</v>
      </c>
      <c r="J28" s="27">
        <v>0.61833333333333329</v>
      </c>
      <c r="K28" s="27">
        <v>0.54166666666666663</v>
      </c>
      <c r="L28" s="27">
        <v>0.58333333333333326</v>
      </c>
      <c r="M28" s="27">
        <v>0.33333333333333331</v>
      </c>
      <c r="N28" s="27">
        <v>0.70833333333333326</v>
      </c>
      <c r="O28" s="27">
        <v>0.42708333333333331</v>
      </c>
      <c r="P28" s="27">
        <v>0.44124999999999998</v>
      </c>
      <c r="Q28" s="27">
        <v>0.60416666666666663</v>
      </c>
      <c r="R28" s="27">
        <v>0.61833333333333329</v>
      </c>
      <c r="S28" s="27">
        <v>0.54166666666666663</v>
      </c>
      <c r="T28" s="27">
        <v>0.58333333333333326</v>
      </c>
      <c r="U28" s="27">
        <v>0.33333333333333331</v>
      </c>
      <c r="V28" s="27">
        <v>0.70833333333333326</v>
      </c>
      <c r="W28" s="27">
        <v>0.42708333333333331</v>
      </c>
      <c r="X28" s="27">
        <v>0.44124999999999998</v>
      </c>
      <c r="Y28" s="27">
        <v>0.60416666666666663</v>
      </c>
      <c r="Z28" s="27">
        <v>0.61833333333333329</v>
      </c>
      <c r="AA28" s="27">
        <v>0.54166666666666663</v>
      </c>
      <c r="AB28" s="27">
        <v>0.58333333333333326</v>
      </c>
      <c r="AC28" s="27">
        <v>0.33333333333333331</v>
      </c>
      <c r="AD28" s="27">
        <v>0.70833333333333326</v>
      </c>
      <c r="AE28" s="27">
        <v>0.42708333333333331</v>
      </c>
      <c r="AF28" s="27">
        <v>0.44124999999999998</v>
      </c>
      <c r="AG28" s="27">
        <v>0.60416666666666663</v>
      </c>
      <c r="AH28" s="27">
        <v>0.61833333333333329</v>
      </c>
      <c r="AI28" s="27">
        <v>0.54166666666666663</v>
      </c>
      <c r="AJ28" s="27">
        <v>0.58333333333333326</v>
      </c>
      <c r="AK28" s="27">
        <v>0.33333333333333331</v>
      </c>
      <c r="AL28" s="27">
        <v>0.70833333333333326</v>
      </c>
      <c r="AM28" s="27">
        <v>0.42708333333333331</v>
      </c>
      <c r="AN28" s="27">
        <v>0.44124999999999998</v>
      </c>
      <c r="AO28" s="27">
        <v>0.60416666666666663</v>
      </c>
      <c r="AP28" s="27">
        <v>0.61833333333333329</v>
      </c>
      <c r="AQ28" s="27">
        <v>0.54166666666666663</v>
      </c>
      <c r="AR28" s="27">
        <v>0.58333333333333326</v>
      </c>
      <c r="AS28" s="27">
        <v>0.375</v>
      </c>
      <c r="AT28" s="27">
        <v>0.58333333333333337</v>
      </c>
      <c r="AU28" s="27">
        <v>0.44791666666666669</v>
      </c>
      <c r="AV28" s="27">
        <v>0.46208333333333335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</row>
    <row r="29" spans="2:60" x14ac:dyDescent="0.25">
      <c r="B29" s="27" t="s">
        <v>51</v>
      </c>
      <c r="C29" s="28">
        <f t="shared" si="0"/>
        <v>1.8749999999999998</v>
      </c>
      <c r="D29" s="27" t="s">
        <v>2</v>
      </c>
      <c r="E29" s="27">
        <v>0.33333333333333331</v>
      </c>
      <c r="F29" s="27">
        <v>0.70833333333333326</v>
      </c>
      <c r="G29" s="27">
        <v>0.4375</v>
      </c>
      <c r="H29" s="27">
        <v>0.45166666666666666</v>
      </c>
      <c r="I29" s="27">
        <v>0.61458333333333337</v>
      </c>
      <c r="J29" s="27">
        <v>0.62875000000000003</v>
      </c>
      <c r="K29" s="27">
        <v>0.54166666666666663</v>
      </c>
      <c r="L29" s="27">
        <v>0.58333333333333326</v>
      </c>
      <c r="M29" s="27">
        <v>0.33333333333333331</v>
      </c>
      <c r="N29" s="27">
        <v>0.70833333333333326</v>
      </c>
      <c r="O29" s="27">
        <v>0.4375</v>
      </c>
      <c r="P29" s="27">
        <v>0.45166666666666666</v>
      </c>
      <c r="Q29" s="27">
        <v>0.61458333333333337</v>
      </c>
      <c r="R29" s="27">
        <v>0.62875000000000003</v>
      </c>
      <c r="S29" s="27">
        <v>0.54166666666666663</v>
      </c>
      <c r="T29" s="27">
        <v>0.58333333333333326</v>
      </c>
      <c r="U29" s="27">
        <v>0.33333333333333331</v>
      </c>
      <c r="V29" s="27">
        <v>0.70833333333333326</v>
      </c>
      <c r="W29" s="27">
        <v>0.4375</v>
      </c>
      <c r="X29" s="27">
        <v>0.45166666666666666</v>
      </c>
      <c r="Y29" s="27">
        <v>0.61458333333333337</v>
      </c>
      <c r="Z29" s="27">
        <v>0.62875000000000003</v>
      </c>
      <c r="AA29" s="27">
        <v>0.54166666666666663</v>
      </c>
      <c r="AB29" s="27">
        <v>0.58333333333333326</v>
      </c>
      <c r="AC29" s="27">
        <v>0.33333333333333331</v>
      </c>
      <c r="AD29" s="27">
        <v>0.70833333333333326</v>
      </c>
      <c r="AE29" s="27">
        <v>0.4375</v>
      </c>
      <c r="AF29" s="27">
        <v>0.45166666666666666</v>
      </c>
      <c r="AG29" s="27">
        <v>0.61458333333333337</v>
      </c>
      <c r="AH29" s="27">
        <v>0.62875000000000003</v>
      </c>
      <c r="AI29" s="27">
        <v>0.54166666666666663</v>
      </c>
      <c r="AJ29" s="27">
        <v>0.58333333333333326</v>
      </c>
      <c r="AK29" s="27">
        <v>0.33333333333333331</v>
      </c>
      <c r="AL29" s="27">
        <v>0.70833333333333326</v>
      </c>
      <c r="AM29" s="27">
        <v>0.4375</v>
      </c>
      <c r="AN29" s="27">
        <v>0.45166666666666666</v>
      </c>
      <c r="AO29" s="27">
        <v>0.61458333333333337</v>
      </c>
      <c r="AP29" s="27">
        <v>0.62875000000000003</v>
      </c>
      <c r="AQ29" s="27">
        <v>0.54166666666666663</v>
      </c>
      <c r="AR29" s="27">
        <v>0.58333333333333326</v>
      </c>
      <c r="AS29" s="27">
        <v>0.45833333333333331</v>
      </c>
      <c r="AT29" s="27">
        <v>0.66666666666666663</v>
      </c>
      <c r="AU29" s="27">
        <v>0.44791666666666669</v>
      </c>
      <c r="AV29" s="27">
        <v>0.46208333333333335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27">
        <v>0</v>
      </c>
      <c r="BD29" s="27">
        <v>0</v>
      </c>
      <c r="BE29" s="27">
        <v>0</v>
      </c>
      <c r="BF29" s="27">
        <v>0</v>
      </c>
      <c r="BG29" s="27">
        <v>0</v>
      </c>
      <c r="BH29" s="27">
        <v>0</v>
      </c>
    </row>
    <row r="30" spans="2:60" x14ac:dyDescent="0.25">
      <c r="B30" s="34" t="s">
        <v>59</v>
      </c>
      <c r="C30" s="33">
        <v>1.875</v>
      </c>
      <c r="D30" s="27" t="s">
        <v>1</v>
      </c>
      <c r="E30" s="27">
        <v>0.25</v>
      </c>
      <c r="F30" s="27">
        <v>0.54166666666666663</v>
      </c>
      <c r="G30" s="27">
        <v>0.35416666666666669</v>
      </c>
      <c r="H30" s="27">
        <v>0.36458333333333337</v>
      </c>
      <c r="I30" s="27">
        <v>0.48958333333333331</v>
      </c>
      <c r="J30" s="27">
        <v>0.5</v>
      </c>
      <c r="K30" s="27">
        <v>0</v>
      </c>
      <c r="L30" s="27">
        <v>0</v>
      </c>
      <c r="M30" s="27">
        <v>0.25</v>
      </c>
      <c r="N30" s="27">
        <v>0.54166666666666663</v>
      </c>
      <c r="O30" s="27">
        <v>0.35416666666666669</v>
      </c>
      <c r="P30" s="27">
        <v>0.36458333333333337</v>
      </c>
      <c r="Q30" s="27">
        <v>0.48958333333333331</v>
      </c>
      <c r="R30" s="27">
        <v>0.5</v>
      </c>
      <c r="S30" s="27">
        <v>0</v>
      </c>
      <c r="T30" s="27">
        <v>0</v>
      </c>
      <c r="U30" s="27">
        <v>0.25</v>
      </c>
      <c r="V30" s="27">
        <v>0.58333333333333337</v>
      </c>
      <c r="W30" s="27">
        <v>0.35416666666666669</v>
      </c>
      <c r="X30" s="27">
        <v>0.36458333333333337</v>
      </c>
      <c r="Y30" s="27">
        <v>0.5</v>
      </c>
      <c r="Z30" s="27">
        <v>0.51041666666666663</v>
      </c>
      <c r="AA30" s="27">
        <v>0</v>
      </c>
      <c r="AB30" s="27">
        <v>0</v>
      </c>
      <c r="AC30" s="27">
        <v>0.25</v>
      </c>
      <c r="AD30" s="27">
        <v>0.58333333333333337</v>
      </c>
      <c r="AE30" s="27">
        <v>0.35416666666666669</v>
      </c>
      <c r="AF30" s="27">
        <v>0.36458333333333337</v>
      </c>
      <c r="AG30" s="27">
        <v>0.5</v>
      </c>
      <c r="AH30" s="27">
        <v>0.51041666666666663</v>
      </c>
      <c r="AI30" s="27">
        <v>0</v>
      </c>
      <c r="AJ30" s="27">
        <v>0</v>
      </c>
      <c r="AK30" s="27">
        <v>0.25</v>
      </c>
      <c r="AL30" s="27">
        <v>0.58333333333333337</v>
      </c>
      <c r="AM30" s="27">
        <v>0.35416666666666669</v>
      </c>
      <c r="AN30" s="27">
        <v>0.36458333333333337</v>
      </c>
      <c r="AO30" s="27">
        <v>0.5</v>
      </c>
      <c r="AP30" s="27">
        <v>0.51041666666666663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0.375</v>
      </c>
      <c r="BB30" s="27">
        <v>0.66666666666666663</v>
      </c>
      <c r="BC30" s="27">
        <v>0.46875</v>
      </c>
      <c r="BD30" s="27">
        <v>0.47916666666666669</v>
      </c>
      <c r="BE30" s="27">
        <v>0</v>
      </c>
      <c r="BF30" s="27">
        <v>0</v>
      </c>
      <c r="BG30" s="27">
        <v>0</v>
      </c>
      <c r="BH30" s="27">
        <v>0</v>
      </c>
    </row>
    <row r="31" spans="2:60" x14ac:dyDescent="0.25">
      <c r="B31" s="27" t="s">
        <v>63</v>
      </c>
      <c r="C31" s="28">
        <v>1.8749999999999998</v>
      </c>
      <c r="D31" s="27" t="s">
        <v>1</v>
      </c>
      <c r="E31" s="27">
        <v>0.25</v>
      </c>
      <c r="F31" s="27">
        <v>0.58333333333333337</v>
      </c>
      <c r="G31" s="27">
        <v>0.39583333333333337</v>
      </c>
      <c r="H31" s="27">
        <v>0.40625000000000006</v>
      </c>
      <c r="I31" s="27">
        <v>0.52083333333333326</v>
      </c>
      <c r="J31" s="27">
        <v>0.53124999999999989</v>
      </c>
      <c r="K31" s="27">
        <v>0</v>
      </c>
      <c r="L31" s="27">
        <v>0</v>
      </c>
      <c r="M31" s="27">
        <v>0.25</v>
      </c>
      <c r="N31" s="27">
        <v>0.58333333333333337</v>
      </c>
      <c r="O31" s="27">
        <v>0.39583333333333337</v>
      </c>
      <c r="P31" s="27">
        <v>0.40625000000000006</v>
      </c>
      <c r="Q31" s="27">
        <v>0.52083333333333326</v>
      </c>
      <c r="R31" s="27">
        <v>0.53124999999999989</v>
      </c>
      <c r="S31" s="27">
        <v>0</v>
      </c>
      <c r="T31" s="27">
        <v>0</v>
      </c>
      <c r="U31" s="27">
        <v>0.25</v>
      </c>
      <c r="V31" s="27">
        <v>0.54166666666666663</v>
      </c>
      <c r="W31" s="27">
        <v>0.39583333333333337</v>
      </c>
      <c r="X31" s="27">
        <v>0.40625000000000006</v>
      </c>
      <c r="Y31" s="27">
        <v>0.47916666666666669</v>
      </c>
      <c r="Z31" s="27">
        <v>0.48958333333333337</v>
      </c>
      <c r="AA31" s="27">
        <v>0</v>
      </c>
      <c r="AB31" s="27">
        <v>0</v>
      </c>
      <c r="AC31" s="27">
        <v>0.25</v>
      </c>
      <c r="AD31" s="27">
        <v>0.54166666666666663</v>
      </c>
      <c r="AE31" s="27">
        <v>0.39583333333333337</v>
      </c>
      <c r="AF31" s="27">
        <v>0.40625000000000006</v>
      </c>
      <c r="AG31" s="27">
        <v>0.47916666666666669</v>
      </c>
      <c r="AH31" s="27">
        <v>0.48958333333333337</v>
      </c>
      <c r="AI31" s="27">
        <v>0</v>
      </c>
      <c r="AJ31" s="27">
        <v>0</v>
      </c>
      <c r="AK31" s="27">
        <v>0.25</v>
      </c>
      <c r="AL31" s="27">
        <v>0.54166666666666663</v>
      </c>
      <c r="AM31" s="27">
        <v>0.39583333333333337</v>
      </c>
      <c r="AN31" s="27">
        <v>0.40625000000000006</v>
      </c>
      <c r="AO31" s="27">
        <v>0.47916666666666669</v>
      </c>
      <c r="AP31" s="27">
        <v>0.48958333333333337</v>
      </c>
      <c r="AQ31" s="27">
        <v>0</v>
      </c>
      <c r="AR31" s="27">
        <v>0</v>
      </c>
      <c r="AS31" s="27">
        <v>0.58333333333333337</v>
      </c>
      <c r="AT31" s="27">
        <v>0.91666666666666663</v>
      </c>
      <c r="AU31" s="27">
        <v>0.6875</v>
      </c>
      <c r="AV31" s="27">
        <v>0.69791666666666663</v>
      </c>
      <c r="AW31" s="27">
        <v>0.85416666666666663</v>
      </c>
      <c r="AX31" s="27">
        <v>0.86458333333333326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</row>
    <row r="32" spans="2:60" x14ac:dyDescent="0.25">
      <c r="B32" s="27" t="s">
        <v>61</v>
      </c>
      <c r="C32" s="28">
        <v>1.875</v>
      </c>
      <c r="D32" s="27" t="s">
        <v>1</v>
      </c>
      <c r="E32" s="27">
        <v>0.58333333333333337</v>
      </c>
      <c r="F32" s="27">
        <v>0.91666666666666663</v>
      </c>
      <c r="G32" s="27">
        <v>0.72916666666666663</v>
      </c>
      <c r="H32" s="27">
        <v>0.73958333333333326</v>
      </c>
      <c r="I32" s="27">
        <v>0.86458333333333337</v>
      </c>
      <c r="J32" s="27">
        <v>0.875</v>
      </c>
      <c r="K32" s="27">
        <v>0</v>
      </c>
      <c r="L32" s="27">
        <v>0</v>
      </c>
      <c r="M32" s="27">
        <v>0.58333333333333337</v>
      </c>
      <c r="N32" s="27">
        <v>0.91666666666666663</v>
      </c>
      <c r="O32" s="27">
        <v>0.72916666666666663</v>
      </c>
      <c r="P32" s="27">
        <v>0.73958333333333326</v>
      </c>
      <c r="Q32" s="27">
        <v>0.86458333333333337</v>
      </c>
      <c r="R32" s="27">
        <v>0.875</v>
      </c>
      <c r="S32" s="27">
        <v>0</v>
      </c>
      <c r="T32" s="27">
        <v>0</v>
      </c>
      <c r="U32" s="27">
        <v>0.625</v>
      </c>
      <c r="V32" s="27">
        <v>0.91666666666666663</v>
      </c>
      <c r="W32" s="27">
        <v>0.72916666666666663</v>
      </c>
      <c r="X32" s="27">
        <v>0.73958333333333326</v>
      </c>
      <c r="Y32" s="27">
        <v>0.86458333333333337</v>
      </c>
      <c r="Z32" s="27">
        <v>0.875</v>
      </c>
      <c r="AA32" s="27">
        <v>0</v>
      </c>
      <c r="AB32" s="27">
        <v>0</v>
      </c>
      <c r="AC32" s="27">
        <v>0.625</v>
      </c>
      <c r="AD32" s="27">
        <v>0.91666666666666663</v>
      </c>
      <c r="AE32" s="27">
        <v>0.72916666666666663</v>
      </c>
      <c r="AF32" s="27">
        <v>0.73958333333333326</v>
      </c>
      <c r="AG32" s="27">
        <v>0.86458333333333337</v>
      </c>
      <c r="AH32" s="27">
        <v>0.875</v>
      </c>
      <c r="AI32" s="27">
        <v>0</v>
      </c>
      <c r="AJ32" s="27">
        <v>0</v>
      </c>
      <c r="AK32" s="27">
        <v>0.625</v>
      </c>
      <c r="AL32" s="27">
        <v>0.91666666666666663</v>
      </c>
      <c r="AM32" s="27">
        <v>0.72916666666666663</v>
      </c>
      <c r="AN32" s="27">
        <v>0.73958333333333326</v>
      </c>
      <c r="AO32" s="27">
        <v>0.86458333333333337</v>
      </c>
      <c r="AP32" s="27">
        <v>0.875</v>
      </c>
      <c r="AQ32" s="27">
        <v>0</v>
      </c>
      <c r="AR32" s="27">
        <v>0</v>
      </c>
      <c r="AS32" s="27">
        <v>0.25</v>
      </c>
      <c r="AT32" s="27">
        <v>0.58333333333333337</v>
      </c>
      <c r="AU32" s="27">
        <v>0.67708333333333337</v>
      </c>
      <c r="AV32" s="27">
        <v>0.6875</v>
      </c>
      <c r="AW32" s="27">
        <v>0.76041666666666674</v>
      </c>
      <c r="AX32" s="27">
        <v>0.77083333333333337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</row>
    <row r="33" spans="2:60" x14ac:dyDescent="0.25">
      <c r="B33" s="27" t="s">
        <v>64</v>
      </c>
      <c r="C33" s="28">
        <v>1.8749999999999996</v>
      </c>
      <c r="D33" s="27" t="s">
        <v>1</v>
      </c>
      <c r="E33" s="27">
        <v>0.58333333333333337</v>
      </c>
      <c r="F33" s="27">
        <v>0.91666666666666663</v>
      </c>
      <c r="G33" s="27">
        <v>0.77083333333333337</v>
      </c>
      <c r="H33" s="27">
        <v>0.78125</v>
      </c>
      <c r="I33" s="27">
        <v>0.88541666666666663</v>
      </c>
      <c r="J33" s="27">
        <v>0.89583333333333326</v>
      </c>
      <c r="K33" s="27">
        <v>0</v>
      </c>
      <c r="L33" s="27">
        <v>0</v>
      </c>
      <c r="M33" s="27">
        <v>0.58333333333333337</v>
      </c>
      <c r="N33" s="27">
        <v>0.91666666666666663</v>
      </c>
      <c r="O33" s="27">
        <v>0.77083333333333337</v>
      </c>
      <c r="P33" s="27">
        <v>0.78125</v>
      </c>
      <c r="Q33" s="27">
        <v>0.88541666666666663</v>
      </c>
      <c r="R33" s="27">
        <v>0.89583333333333326</v>
      </c>
      <c r="S33" s="27">
        <v>0</v>
      </c>
      <c r="T33" s="27">
        <v>0</v>
      </c>
      <c r="U33" s="27">
        <v>0.58333333333333337</v>
      </c>
      <c r="V33" s="27">
        <v>0.91666666666666663</v>
      </c>
      <c r="W33" s="27">
        <v>0.77083333333333337</v>
      </c>
      <c r="X33" s="27">
        <v>0.78125</v>
      </c>
      <c r="Y33" s="27">
        <v>0.88541666666666663</v>
      </c>
      <c r="Z33" s="27">
        <v>0.89583333333333326</v>
      </c>
      <c r="AA33" s="27">
        <v>0</v>
      </c>
      <c r="AB33" s="27">
        <v>0</v>
      </c>
      <c r="AC33" s="27">
        <v>0.58333333333333337</v>
      </c>
      <c r="AD33" s="27">
        <v>0.91666666666666663</v>
      </c>
      <c r="AE33" s="27">
        <v>0.77083333333333337</v>
      </c>
      <c r="AF33" s="27">
        <v>0.78125</v>
      </c>
      <c r="AG33" s="27">
        <v>0.88541666666666663</v>
      </c>
      <c r="AH33" s="27">
        <v>0.89583333333333326</v>
      </c>
      <c r="AI33" s="27">
        <v>0</v>
      </c>
      <c r="AJ33" s="27">
        <v>0</v>
      </c>
      <c r="AK33" s="27">
        <v>0.58333333333333337</v>
      </c>
      <c r="AL33" s="27">
        <v>0.91666666666666663</v>
      </c>
      <c r="AM33" s="27">
        <v>0.77083333333333337</v>
      </c>
      <c r="AN33" s="27">
        <v>0.78125</v>
      </c>
      <c r="AO33" s="27">
        <v>0.88541666666666663</v>
      </c>
      <c r="AP33" s="27">
        <v>0.89583333333333326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0.33333333333333331</v>
      </c>
      <c r="BB33" s="27">
        <v>0.54166666666666663</v>
      </c>
      <c r="BC33" s="27">
        <v>0.42708333333333331</v>
      </c>
      <c r="BD33" s="27">
        <v>0.4375</v>
      </c>
      <c r="BE33" s="27">
        <v>0</v>
      </c>
      <c r="BF33" s="27">
        <v>0</v>
      </c>
      <c r="BG33" s="27">
        <v>0</v>
      </c>
      <c r="BH33" s="27">
        <v>0</v>
      </c>
    </row>
    <row r="34" spans="2:60" x14ac:dyDescent="0.25">
      <c r="B34" s="27" t="s">
        <v>62</v>
      </c>
      <c r="C34" s="28">
        <v>1.875</v>
      </c>
      <c r="D34" s="27" t="s">
        <v>1</v>
      </c>
      <c r="E34" s="27">
        <v>0.45833333333333331</v>
      </c>
      <c r="F34" s="27">
        <v>0.83333333333333326</v>
      </c>
      <c r="G34" s="27">
        <v>0.6875</v>
      </c>
      <c r="H34" s="27">
        <v>0.70138888888888884</v>
      </c>
      <c r="I34" s="27">
        <v>0.75</v>
      </c>
      <c r="J34" s="27">
        <v>0.76416666666666666</v>
      </c>
      <c r="K34" s="27">
        <v>0.5625</v>
      </c>
      <c r="L34" s="27">
        <v>0.60416666666666663</v>
      </c>
      <c r="M34" s="27">
        <v>0.45833333333333331</v>
      </c>
      <c r="N34" s="27">
        <v>0.83333333333333326</v>
      </c>
      <c r="O34" s="27">
        <v>0.6875</v>
      </c>
      <c r="P34" s="27">
        <v>0.70166666666666666</v>
      </c>
      <c r="Q34" s="27">
        <v>0.75</v>
      </c>
      <c r="R34" s="27">
        <v>0.76416666666666666</v>
      </c>
      <c r="S34" s="27">
        <v>0.5625</v>
      </c>
      <c r="T34" s="27">
        <v>0.60416666666666663</v>
      </c>
      <c r="U34" s="27">
        <v>0.5</v>
      </c>
      <c r="V34" s="27">
        <v>0.83333333333333337</v>
      </c>
      <c r="W34" s="27">
        <v>0.6875</v>
      </c>
      <c r="X34" s="27">
        <v>0.70166666666666666</v>
      </c>
      <c r="Y34" s="27">
        <v>0.75</v>
      </c>
      <c r="Z34" s="27">
        <v>0.76416666666666666</v>
      </c>
      <c r="AA34" s="27">
        <v>0.5625</v>
      </c>
      <c r="AB34" s="27">
        <v>0.60416666666666663</v>
      </c>
      <c r="AC34" s="27">
        <v>0.5</v>
      </c>
      <c r="AD34" s="27">
        <v>0.83333333333333337</v>
      </c>
      <c r="AE34" s="27">
        <v>0.6875</v>
      </c>
      <c r="AF34" s="27">
        <v>0.70166666666666666</v>
      </c>
      <c r="AG34" s="27">
        <v>0.75</v>
      </c>
      <c r="AH34" s="27">
        <v>0.76416666666666666</v>
      </c>
      <c r="AI34" s="27">
        <v>0.54166666666666663</v>
      </c>
      <c r="AJ34" s="27">
        <v>0.58333333333333326</v>
      </c>
      <c r="AK34" s="27">
        <v>0.45833333333333331</v>
      </c>
      <c r="AL34" s="27">
        <v>0.83333333333333326</v>
      </c>
      <c r="AM34" s="27">
        <v>0.6875</v>
      </c>
      <c r="AN34" s="27">
        <v>0.70166666666666666</v>
      </c>
      <c r="AO34" s="27">
        <v>0.75</v>
      </c>
      <c r="AP34" s="27">
        <v>0.76416666666666666</v>
      </c>
      <c r="AQ34" s="27">
        <v>0.5625</v>
      </c>
      <c r="AR34" s="27">
        <v>0.60416666666666663</v>
      </c>
      <c r="AS34" s="27">
        <v>0.29166666666666669</v>
      </c>
      <c r="AT34" s="27">
        <v>0.58333333333333337</v>
      </c>
      <c r="AU34" s="27">
        <v>0.375</v>
      </c>
      <c r="AV34" s="27">
        <v>0.38900000000000001</v>
      </c>
      <c r="AW34" s="27">
        <v>0.45833333333333331</v>
      </c>
      <c r="AX34" s="27">
        <v>0.47233333333333333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</row>
    <row r="35" spans="2:60" x14ac:dyDescent="0.25">
      <c r="B35" s="27" t="s">
        <v>60</v>
      </c>
      <c r="C35" s="28">
        <v>1.8750000000000004</v>
      </c>
      <c r="D35" s="27" t="s">
        <v>1</v>
      </c>
      <c r="E35" s="27">
        <v>0.375</v>
      </c>
      <c r="F35" s="27">
        <v>0.75</v>
      </c>
      <c r="G35" s="27">
        <v>0.47916666666666669</v>
      </c>
      <c r="H35" s="27">
        <v>0.49305555555555558</v>
      </c>
      <c r="I35" s="27">
        <v>0.66666666666666663</v>
      </c>
      <c r="J35" s="27">
        <v>0.68083333333333329</v>
      </c>
      <c r="K35" s="27">
        <v>0.54166666666666663</v>
      </c>
      <c r="L35" s="27">
        <v>0.58333333333333326</v>
      </c>
      <c r="M35" s="27">
        <v>0.375</v>
      </c>
      <c r="N35" s="27">
        <v>0.75</v>
      </c>
      <c r="O35" s="27">
        <v>0.47916666666666669</v>
      </c>
      <c r="P35" s="27">
        <v>0.49333333333333335</v>
      </c>
      <c r="Q35" s="27">
        <v>0.66666666666666663</v>
      </c>
      <c r="R35" s="27">
        <v>0.68083333333333329</v>
      </c>
      <c r="S35" s="27">
        <v>0.54166666666666663</v>
      </c>
      <c r="T35" s="27">
        <v>0.58333333333333326</v>
      </c>
      <c r="U35" s="27">
        <v>0.375</v>
      </c>
      <c r="V35" s="27">
        <v>0.75</v>
      </c>
      <c r="W35" s="27">
        <v>0.47916666666666669</v>
      </c>
      <c r="X35" s="27">
        <v>0.49333333333333335</v>
      </c>
      <c r="Y35" s="27">
        <v>0.66666666666666663</v>
      </c>
      <c r="Z35" s="27">
        <v>0.68083333333333329</v>
      </c>
      <c r="AA35" s="27">
        <v>0.54166666666666663</v>
      </c>
      <c r="AB35" s="27">
        <v>0.58333333333333326</v>
      </c>
      <c r="AC35" s="27">
        <v>0.375</v>
      </c>
      <c r="AD35" s="27">
        <v>0.75</v>
      </c>
      <c r="AE35" s="27">
        <v>0.47916666666666669</v>
      </c>
      <c r="AF35" s="27">
        <v>0.49333333333333335</v>
      </c>
      <c r="AG35" s="27">
        <v>0.66666666666666663</v>
      </c>
      <c r="AH35" s="27">
        <v>0.68083333333333329</v>
      </c>
      <c r="AI35" s="27">
        <v>0.52083333333333337</v>
      </c>
      <c r="AJ35" s="27">
        <v>0.5625</v>
      </c>
      <c r="AK35" s="27">
        <v>0.375</v>
      </c>
      <c r="AL35" s="27">
        <v>0.75</v>
      </c>
      <c r="AM35" s="27">
        <v>0.47916666666666669</v>
      </c>
      <c r="AN35" s="27">
        <v>0.49333333333333335</v>
      </c>
      <c r="AO35" s="27">
        <v>0.66666666666666663</v>
      </c>
      <c r="AP35" s="27">
        <v>0.68083333333333329</v>
      </c>
      <c r="AQ35" s="27">
        <v>0.54166666666666663</v>
      </c>
      <c r="AR35" s="27">
        <v>0.58333333333333326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0.375</v>
      </c>
      <c r="BB35" s="27">
        <v>0.58333333333333337</v>
      </c>
      <c r="BC35" s="27">
        <v>0.5</v>
      </c>
      <c r="BD35" s="27">
        <v>0.51400000000000001</v>
      </c>
      <c r="BE35" s="27">
        <v>0</v>
      </c>
      <c r="BF35" s="27">
        <v>0</v>
      </c>
      <c r="BG35" s="27">
        <v>0</v>
      </c>
      <c r="BH35" s="27">
        <v>0</v>
      </c>
    </row>
    <row r="36" spans="2:60" x14ac:dyDescent="0.25">
      <c r="B36" s="27" t="s">
        <v>55</v>
      </c>
      <c r="C36" s="28">
        <v>1.8750000000000004</v>
      </c>
      <c r="D36" s="27" t="s">
        <v>1</v>
      </c>
      <c r="E36" s="27">
        <v>0.4375</v>
      </c>
      <c r="F36" s="27">
        <v>0.79166666666666663</v>
      </c>
      <c r="G36" s="27">
        <v>0.5</v>
      </c>
      <c r="H36" s="27">
        <v>0.51388888888888884</v>
      </c>
      <c r="I36" s="27">
        <v>0.71875</v>
      </c>
      <c r="J36" s="27">
        <v>0.73291666666666666</v>
      </c>
      <c r="K36" s="27">
        <v>0.58333333333333337</v>
      </c>
      <c r="L36" s="27">
        <v>0.625</v>
      </c>
      <c r="M36" s="27">
        <v>0.4375</v>
      </c>
      <c r="N36" s="27">
        <v>0.79166666666666663</v>
      </c>
      <c r="O36" s="27">
        <v>0.5</v>
      </c>
      <c r="P36" s="27">
        <v>0.51416666666666666</v>
      </c>
      <c r="Q36" s="27">
        <v>0.71875</v>
      </c>
      <c r="R36" s="27">
        <v>0.73291666666666666</v>
      </c>
      <c r="S36" s="27">
        <v>0.58333333333333337</v>
      </c>
      <c r="T36" s="27">
        <v>0.625</v>
      </c>
      <c r="U36" s="27">
        <v>0.41666666666666669</v>
      </c>
      <c r="V36" s="27">
        <v>0.70833333333333337</v>
      </c>
      <c r="W36" s="27">
        <v>0.5</v>
      </c>
      <c r="X36" s="27">
        <v>0.51416666666666666</v>
      </c>
      <c r="Y36" s="27">
        <v>0.67708333333333337</v>
      </c>
      <c r="Z36" s="27">
        <v>0.69125000000000003</v>
      </c>
      <c r="AA36" s="27">
        <v>0</v>
      </c>
      <c r="AB36" s="27">
        <v>0</v>
      </c>
      <c r="AC36" s="27">
        <v>0.41666666666666669</v>
      </c>
      <c r="AD36" s="27">
        <v>0.79166666666666674</v>
      </c>
      <c r="AE36" s="27">
        <v>0.5</v>
      </c>
      <c r="AF36" s="27">
        <v>0.51416666666666666</v>
      </c>
      <c r="AG36" s="27">
        <v>0.71875</v>
      </c>
      <c r="AH36" s="27">
        <v>0.73291666666666666</v>
      </c>
      <c r="AI36" s="27">
        <v>0.58333333333333337</v>
      </c>
      <c r="AJ36" s="27">
        <v>0.625</v>
      </c>
      <c r="AK36" s="27">
        <v>0.41666666666666669</v>
      </c>
      <c r="AL36" s="27">
        <v>0.70833333333333337</v>
      </c>
      <c r="AM36" s="27">
        <v>0.5</v>
      </c>
      <c r="AN36" s="27">
        <v>0.51416666666666666</v>
      </c>
      <c r="AO36" s="27">
        <v>0.67708333333333337</v>
      </c>
      <c r="AP36" s="27">
        <v>0.69125000000000003</v>
      </c>
      <c r="AQ36" s="27">
        <v>0</v>
      </c>
      <c r="AR36" s="27">
        <v>0</v>
      </c>
      <c r="AS36" s="27">
        <v>0.33333333333333331</v>
      </c>
      <c r="AT36" s="27">
        <v>0.70833333333333337</v>
      </c>
      <c r="AU36" s="27">
        <v>0.41666666666666663</v>
      </c>
      <c r="AV36" s="27">
        <v>0.43066666666666664</v>
      </c>
      <c r="AW36" s="27">
        <v>0.63541666666666663</v>
      </c>
      <c r="AX36" s="27">
        <v>0.64941666666666664</v>
      </c>
      <c r="AY36" s="27">
        <v>0.5</v>
      </c>
      <c r="AZ36" s="27">
        <v>0.54166666666666663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</row>
    <row r="37" spans="2:60" x14ac:dyDescent="0.25">
      <c r="B37" s="27" t="s">
        <v>57</v>
      </c>
      <c r="C37" s="28">
        <v>1.875</v>
      </c>
      <c r="D37" s="27" t="s">
        <v>1</v>
      </c>
      <c r="E37" s="27">
        <v>0.33333333333333331</v>
      </c>
      <c r="F37" s="27">
        <v>0.70833333333333326</v>
      </c>
      <c r="G37" s="27">
        <v>0.4375</v>
      </c>
      <c r="H37" s="27">
        <v>0.4513888888888889</v>
      </c>
      <c r="I37" s="27">
        <v>0.625</v>
      </c>
      <c r="J37" s="27">
        <v>0.63916666666666666</v>
      </c>
      <c r="K37" s="27">
        <v>0.52083333333333337</v>
      </c>
      <c r="L37" s="27">
        <v>0.5625</v>
      </c>
      <c r="M37" s="27">
        <v>0.33333333333333331</v>
      </c>
      <c r="N37" s="27">
        <v>0.70833333333333326</v>
      </c>
      <c r="O37" s="27">
        <v>0.4375</v>
      </c>
      <c r="P37" s="27">
        <v>0.45166666666666666</v>
      </c>
      <c r="Q37" s="27">
        <v>0.625</v>
      </c>
      <c r="R37" s="27">
        <v>0.63916666666666666</v>
      </c>
      <c r="S37" s="27">
        <v>0.52083333333333337</v>
      </c>
      <c r="T37" s="27">
        <v>0.5625</v>
      </c>
      <c r="U37" s="27">
        <v>0.33333333333333331</v>
      </c>
      <c r="V37" s="27">
        <v>0.70833333333333326</v>
      </c>
      <c r="W37" s="27">
        <v>0.4375</v>
      </c>
      <c r="X37" s="27">
        <v>0.45166666666666666</v>
      </c>
      <c r="Y37" s="27">
        <v>0.625</v>
      </c>
      <c r="Z37" s="27">
        <v>0.63916666666666666</v>
      </c>
      <c r="AA37" s="27">
        <v>0.52083333333333337</v>
      </c>
      <c r="AB37" s="27">
        <v>0.5625</v>
      </c>
      <c r="AC37" s="27">
        <v>0.33333333333333331</v>
      </c>
      <c r="AD37" s="27">
        <v>0.70833333333333326</v>
      </c>
      <c r="AE37" s="27">
        <v>0.4375</v>
      </c>
      <c r="AF37" s="27">
        <v>0.45166666666666666</v>
      </c>
      <c r="AG37" s="27">
        <v>0.625</v>
      </c>
      <c r="AH37" s="27">
        <v>0.63916666666666666</v>
      </c>
      <c r="AI37" s="27">
        <v>0.5</v>
      </c>
      <c r="AJ37" s="27">
        <v>0.54166666666666663</v>
      </c>
      <c r="AK37" s="27">
        <v>0.25</v>
      </c>
      <c r="AL37" s="27">
        <v>0.58333333333333337</v>
      </c>
      <c r="AM37" s="27">
        <v>0.35416666666666669</v>
      </c>
      <c r="AN37" s="27">
        <v>0.36458333333333337</v>
      </c>
      <c r="AO37" s="27">
        <v>0.5</v>
      </c>
      <c r="AP37" s="27">
        <v>0.51041666666666663</v>
      </c>
      <c r="AQ37" s="27">
        <v>0</v>
      </c>
      <c r="AR37" s="27">
        <v>0</v>
      </c>
      <c r="AS37" s="27">
        <v>0.66666666666666663</v>
      </c>
      <c r="AT37" s="27">
        <v>0.875</v>
      </c>
      <c r="AU37" s="27">
        <v>0.75</v>
      </c>
      <c r="AV37" s="27">
        <v>0.76400000000000001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</row>
    <row r="38" spans="2:60" s="19" customFormat="1" x14ac:dyDescent="0.25">
      <c r="B38" s="27" t="s">
        <v>58</v>
      </c>
      <c r="C38" s="28">
        <v>1.875</v>
      </c>
      <c r="D38" s="27" t="s">
        <v>1</v>
      </c>
      <c r="E38" s="27">
        <v>0.33333333333333331</v>
      </c>
      <c r="F38" s="27">
        <v>0.70833333333333326</v>
      </c>
      <c r="G38" s="27">
        <v>0.40972222222222221</v>
      </c>
      <c r="H38" s="27">
        <v>0.41678240740740741</v>
      </c>
      <c r="I38" s="27">
        <v>0.64583333333333326</v>
      </c>
      <c r="J38" s="27">
        <v>0.65999999999999992</v>
      </c>
      <c r="K38" s="27">
        <v>0.5</v>
      </c>
      <c r="L38" s="27">
        <v>0.54166666666666663</v>
      </c>
      <c r="M38" s="27">
        <v>0.33333333333333331</v>
      </c>
      <c r="N38" s="27">
        <v>0.625</v>
      </c>
      <c r="O38" s="27">
        <v>0.40636574074074072</v>
      </c>
      <c r="P38" s="27">
        <v>0.42053240740740738</v>
      </c>
      <c r="Q38" s="27">
        <v>0.64583333333333326</v>
      </c>
      <c r="R38" s="27">
        <v>0.65999999999999992</v>
      </c>
      <c r="S38" s="27">
        <v>0.5</v>
      </c>
      <c r="T38" s="27">
        <v>0.54166666666666663</v>
      </c>
      <c r="U38" s="27">
        <v>0.33333333333333331</v>
      </c>
      <c r="V38" s="27">
        <v>0.70833333333333326</v>
      </c>
      <c r="W38" s="27">
        <v>0.40636574074074072</v>
      </c>
      <c r="X38" s="27">
        <v>0.42053240740740738</v>
      </c>
      <c r="Y38" s="27">
        <v>0.64583333333333326</v>
      </c>
      <c r="Z38" s="27">
        <v>0.65999999999999992</v>
      </c>
      <c r="AA38" s="27">
        <v>0.5</v>
      </c>
      <c r="AB38" s="27">
        <v>0.54166666666666663</v>
      </c>
      <c r="AC38" s="27">
        <v>0.33333333333333331</v>
      </c>
      <c r="AD38" s="27">
        <v>0.66666666666666663</v>
      </c>
      <c r="AE38" s="27">
        <v>0.40636574074074072</v>
      </c>
      <c r="AF38" s="27">
        <v>0.42053240740740738</v>
      </c>
      <c r="AG38" s="27">
        <v>0.64583333333333326</v>
      </c>
      <c r="AH38" s="27">
        <v>0.65999999999999992</v>
      </c>
      <c r="AI38" s="27">
        <v>0</v>
      </c>
      <c r="AJ38" s="27">
        <v>0</v>
      </c>
      <c r="AK38" s="27">
        <v>0.33333333333333331</v>
      </c>
      <c r="AL38" s="27">
        <v>0.70833333333333326</v>
      </c>
      <c r="AM38" s="27">
        <v>0.40636574074074072</v>
      </c>
      <c r="AN38" s="27">
        <v>0.42053240740740738</v>
      </c>
      <c r="AO38" s="27">
        <v>0.64583333333333326</v>
      </c>
      <c r="AP38" s="27">
        <v>0.65999999999999992</v>
      </c>
      <c r="AQ38" s="27">
        <v>0.5</v>
      </c>
      <c r="AR38" s="27">
        <v>0.54166666666666663</v>
      </c>
      <c r="AS38" s="27">
        <v>0.29166666666666669</v>
      </c>
      <c r="AT38" s="27">
        <v>0.58333333333333337</v>
      </c>
      <c r="AU38" s="27">
        <v>0.38541666666666669</v>
      </c>
      <c r="AV38" s="27">
        <v>0.3994166666666667</v>
      </c>
      <c r="AW38" s="27">
        <v>0.46875</v>
      </c>
      <c r="AX38" s="27">
        <v>0.48275000000000001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</row>
    <row r="39" spans="2:60" s="19" customFormat="1" x14ac:dyDescent="0.25">
      <c r="B39" s="27" t="s">
        <v>56</v>
      </c>
      <c r="C39" s="28">
        <v>1.8750000000000002</v>
      </c>
      <c r="D39" s="27" t="s">
        <v>1</v>
      </c>
      <c r="E39" s="27">
        <v>0.33333333333333331</v>
      </c>
      <c r="F39" s="27">
        <v>0.70833333333333326</v>
      </c>
      <c r="G39" s="27">
        <v>0.41666666666666669</v>
      </c>
      <c r="H39" s="27">
        <v>0.43083333333333335</v>
      </c>
      <c r="I39" s="27">
        <v>0.63541666666666663</v>
      </c>
      <c r="J39" s="27">
        <v>0.64958333333333329</v>
      </c>
      <c r="K39" s="27">
        <v>0.52083333333333337</v>
      </c>
      <c r="L39" s="27">
        <v>0.5625</v>
      </c>
      <c r="M39" s="27">
        <v>0.33333333333333331</v>
      </c>
      <c r="N39" s="27">
        <v>0.70833333333333326</v>
      </c>
      <c r="O39" s="27">
        <v>0.41666666666666669</v>
      </c>
      <c r="P39" s="27">
        <v>0.43083333333333335</v>
      </c>
      <c r="Q39" s="27">
        <v>0.63541666666666663</v>
      </c>
      <c r="R39" s="27">
        <v>0.64958333333333329</v>
      </c>
      <c r="S39" s="27">
        <v>0.52083333333333337</v>
      </c>
      <c r="T39" s="27">
        <v>0.5625</v>
      </c>
      <c r="U39" s="27">
        <v>0.33333333333333331</v>
      </c>
      <c r="V39" s="27">
        <v>0.625</v>
      </c>
      <c r="W39" s="27">
        <v>0.41666666666666669</v>
      </c>
      <c r="X39" s="27">
        <v>0.43083333333333335</v>
      </c>
      <c r="Y39" s="27">
        <v>0.57291666666666663</v>
      </c>
      <c r="Z39" s="27">
        <v>0.58708333333333329</v>
      </c>
      <c r="AA39" s="27">
        <v>0</v>
      </c>
      <c r="AB39" s="27">
        <v>0</v>
      </c>
      <c r="AC39" s="27">
        <v>0.33333333333333331</v>
      </c>
      <c r="AD39" s="27">
        <v>0.625</v>
      </c>
      <c r="AE39" s="27">
        <v>0.41666666666666669</v>
      </c>
      <c r="AF39" s="27">
        <v>0.43083333333333335</v>
      </c>
      <c r="AG39" s="27">
        <v>0.57291666666666663</v>
      </c>
      <c r="AH39" s="27">
        <v>0.58708333333333329</v>
      </c>
      <c r="AI39" s="27">
        <v>0</v>
      </c>
      <c r="AJ39" s="27">
        <v>0</v>
      </c>
      <c r="AK39" s="27">
        <v>0.33333333333333331</v>
      </c>
      <c r="AL39" s="27">
        <v>0.625</v>
      </c>
      <c r="AM39" s="27">
        <v>0.41666666666666669</v>
      </c>
      <c r="AN39" s="27">
        <v>0.43083333333333335</v>
      </c>
      <c r="AO39" s="27">
        <v>0.57291666666666663</v>
      </c>
      <c r="AP39" s="27">
        <v>0.58708333333333329</v>
      </c>
      <c r="AQ39" s="27">
        <v>0</v>
      </c>
      <c r="AR39" s="27">
        <v>0</v>
      </c>
      <c r="AS39" s="27">
        <v>0.33333333333333331</v>
      </c>
      <c r="AT39" s="27">
        <v>0.70833333333333337</v>
      </c>
      <c r="AU39" s="27">
        <v>0.42708333333333331</v>
      </c>
      <c r="AV39" s="27">
        <v>0.44108333333333333</v>
      </c>
      <c r="AW39" s="27">
        <v>0.625</v>
      </c>
      <c r="AX39" s="27">
        <v>0.63900000000000001</v>
      </c>
      <c r="AY39" s="27">
        <v>0.54166666666666663</v>
      </c>
      <c r="AZ39" s="27">
        <v>0.58333333333333326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</row>
    <row r="40" spans="2:60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</row>
    <row r="41" spans="2:60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spans="2:60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</row>
    <row r="43" spans="2:60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</row>
    <row r="44" spans="2:60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2:60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</row>
    <row r="46" spans="2:60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</row>
    <row r="47" spans="2:60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</row>
    <row r="48" spans="2:60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</row>
    <row r="49" spans="2:60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</row>
    <row r="50" spans="2:60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</row>
    <row r="51" spans="2:60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</row>
  </sheetData>
  <autoFilter ref="B5:BH39" xr:uid="{86C6C346-43F2-4773-B5A4-66BF45D659DD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</autoFilter>
  <mergeCells count="38">
    <mergeCell ref="K6:L6"/>
    <mergeCell ref="M6:N6"/>
    <mergeCell ref="U5:AB5"/>
    <mergeCell ref="AC5:AJ5"/>
    <mergeCell ref="AK5:AR5"/>
    <mergeCell ref="U6:V6"/>
    <mergeCell ref="W6:X6"/>
    <mergeCell ref="Y6:Z6"/>
    <mergeCell ref="AA6:AB6"/>
    <mergeCell ref="AI6:AJ6"/>
    <mergeCell ref="AK6:AL6"/>
    <mergeCell ref="AM6:AN6"/>
    <mergeCell ref="AS5:AZ5"/>
    <mergeCell ref="BA5:BH5"/>
    <mergeCell ref="BA6:BB6"/>
    <mergeCell ref="BC6:BD6"/>
    <mergeCell ref="BE6:BF6"/>
    <mergeCell ref="BG6:BH6"/>
    <mergeCell ref="AS6:AT6"/>
    <mergeCell ref="AU6:AV6"/>
    <mergeCell ref="AW6:AX6"/>
    <mergeCell ref="AY6:AZ6"/>
    <mergeCell ref="B5:B7"/>
    <mergeCell ref="C5:C7"/>
    <mergeCell ref="D5:D7"/>
    <mergeCell ref="AO6:AP6"/>
    <mergeCell ref="AQ6:AR6"/>
    <mergeCell ref="AC6:AD6"/>
    <mergeCell ref="AE6:AF6"/>
    <mergeCell ref="AG6:AH6"/>
    <mergeCell ref="O6:P6"/>
    <mergeCell ref="Q6:R6"/>
    <mergeCell ref="S6:T6"/>
    <mergeCell ref="E5:L5"/>
    <mergeCell ref="M5:T5"/>
    <mergeCell ref="E6:F6"/>
    <mergeCell ref="G6:H6"/>
    <mergeCell ref="I6:J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5188-0125-4734-ABE6-1AF5B7586135}">
  <sheetPr codeName="Sheet4"/>
  <dimension ref="B3:U451"/>
  <sheetViews>
    <sheetView topLeftCell="B430" workbookViewId="0">
      <selection activeCell="D447" sqref="D447"/>
    </sheetView>
  </sheetViews>
  <sheetFormatPr defaultRowHeight="15" x14ac:dyDescent="0.25"/>
  <cols>
    <col min="3" max="3" width="9.7109375" bestFit="1" customWidth="1"/>
    <col min="5" max="5" width="19.28515625" bestFit="1" customWidth="1"/>
    <col min="6" max="6" width="10.5703125" bestFit="1" customWidth="1"/>
    <col min="7" max="7" width="18.7109375" bestFit="1" customWidth="1"/>
    <col min="8" max="8" width="19.7109375" bestFit="1" customWidth="1"/>
    <col min="9" max="9" width="21" bestFit="1" customWidth="1"/>
    <col min="10" max="10" width="19.85546875" bestFit="1" customWidth="1"/>
    <col min="11" max="11" width="17.7109375" bestFit="1" customWidth="1"/>
    <col min="12" max="12" width="24" bestFit="1" customWidth="1"/>
    <col min="13" max="13" width="21.42578125" bestFit="1" customWidth="1"/>
    <col min="14" max="14" width="10.140625" bestFit="1" customWidth="1"/>
    <col min="15" max="15" width="21.5703125" bestFit="1" customWidth="1"/>
    <col min="16" max="16" width="16.28515625" bestFit="1" customWidth="1"/>
    <col min="17" max="17" width="12.28515625" bestFit="1" customWidth="1"/>
  </cols>
  <sheetData>
    <row r="3" spans="2:21" x14ac:dyDescent="0.25">
      <c r="B3" t="s">
        <v>25</v>
      </c>
      <c r="C3" t="s">
        <v>65</v>
      </c>
      <c r="D3" t="s">
        <v>66</v>
      </c>
      <c r="E3" t="s">
        <v>67</v>
      </c>
      <c r="F3" t="s">
        <v>12</v>
      </c>
      <c r="G3" t="s">
        <v>68</v>
      </c>
      <c r="H3" t="s">
        <v>69</v>
      </c>
      <c r="I3" t="s">
        <v>70</v>
      </c>
      <c r="J3" t="s">
        <v>13</v>
      </c>
      <c r="K3" t="s">
        <v>71</v>
      </c>
      <c r="L3" t="s">
        <v>14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15</v>
      </c>
    </row>
    <row r="4" spans="2:21" x14ac:dyDescent="0.25">
      <c r="B4" t="s">
        <v>1</v>
      </c>
      <c r="C4" t="s">
        <v>3</v>
      </c>
      <c r="D4" s="1">
        <v>0.25</v>
      </c>
      <c r="E4">
        <v>0</v>
      </c>
      <c r="F4">
        <v>0</v>
      </c>
      <c r="G4">
        <v>2</v>
      </c>
      <c r="H4">
        <v>0</v>
      </c>
      <c r="I4" t="e">
        <v>#NAME?</v>
      </c>
      <c r="J4">
        <v>1</v>
      </c>
      <c r="K4" t="e">
        <v>#NAME?</v>
      </c>
      <c r="L4">
        <v>2</v>
      </c>
      <c r="M4">
        <v>2</v>
      </c>
      <c r="N4">
        <v>0</v>
      </c>
      <c r="O4" t="s">
        <v>72</v>
      </c>
      <c r="P4" t="s">
        <v>72</v>
      </c>
      <c r="Q4">
        <v>0</v>
      </c>
      <c r="R4">
        <v>0.1</v>
      </c>
      <c r="S4" t="str">
        <f>IFERROR(O4*E4,"")</f>
        <v/>
      </c>
      <c r="T4" t="str">
        <f>IFERROR(P4*E4,"")</f>
        <v/>
      </c>
      <c r="U4">
        <f>+M4*1800</f>
        <v>3600</v>
      </c>
    </row>
    <row r="5" spans="2:21" x14ac:dyDescent="0.25">
      <c r="B5" t="s">
        <v>1</v>
      </c>
      <c r="C5" t="s">
        <v>3</v>
      </c>
      <c r="D5" s="1">
        <v>0.27083333333333331</v>
      </c>
      <c r="E5">
        <v>1</v>
      </c>
      <c r="F5">
        <v>900</v>
      </c>
      <c r="G5">
        <v>2</v>
      </c>
      <c r="H5">
        <v>0.5</v>
      </c>
      <c r="I5" t="e">
        <v>#NAME?</v>
      </c>
      <c r="J5">
        <v>1</v>
      </c>
      <c r="K5" t="e">
        <v>#NAME?</v>
      </c>
      <c r="L5">
        <v>2</v>
      </c>
      <c r="M5">
        <v>2</v>
      </c>
      <c r="N5">
        <v>0</v>
      </c>
      <c r="O5">
        <v>0.88590580224990845</v>
      </c>
      <c r="P5">
        <v>1</v>
      </c>
      <c r="Q5">
        <v>8.3333333333333329E-2</v>
      </c>
      <c r="R5">
        <v>0.1</v>
      </c>
      <c r="S5">
        <f t="shared" ref="S5:S68" si="0">IFERROR(O5*E5,"")</f>
        <v>0.88590580224990845</v>
      </c>
      <c r="T5">
        <f t="shared" ref="T5:T68" si="1">IFERROR(P5*E5,"")</f>
        <v>1</v>
      </c>
      <c r="U5">
        <f t="shared" ref="U5:U68" si="2">+M5*1800</f>
        <v>3600</v>
      </c>
    </row>
    <row r="6" spans="2:21" x14ac:dyDescent="0.25">
      <c r="B6" t="s">
        <v>1</v>
      </c>
      <c r="C6" t="s">
        <v>3</v>
      </c>
      <c r="D6" s="1">
        <v>0.29166666666666669</v>
      </c>
      <c r="E6">
        <v>3</v>
      </c>
      <c r="F6">
        <v>900</v>
      </c>
      <c r="G6">
        <v>2</v>
      </c>
      <c r="H6">
        <v>1.5</v>
      </c>
      <c r="I6" t="e">
        <v>#NAME?</v>
      </c>
      <c r="J6">
        <v>2</v>
      </c>
      <c r="K6" t="e">
        <v>#NAME?</v>
      </c>
      <c r="L6">
        <v>3</v>
      </c>
      <c r="M6">
        <v>2</v>
      </c>
      <c r="N6">
        <v>-1</v>
      </c>
      <c r="O6">
        <v>0.68859052658081055</v>
      </c>
      <c r="P6">
        <v>1</v>
      </c>
      <c r="Q6">
        <v>0.25</v>
      </c>
      <c r="R6">
        <v>0.1</v>
      </c>
      <c r="S6">
        <f t="shared" si="0"/>
        <v>2.0657715797424316</v>
      </c>
      <c r="T6">
        <f t="shared" si="1"/>
        <v>3</v>
      </c>
      <c r="U6">
        <f t="shared" si="2"/>
        <v>3600</v>
      </c>
    </row>
    <row r="7" spans="2:21" x14ac:dyDescent="0.25">
      <c r="B7" t="s">
        <v>1</v>
      </c>
      <c r="C7" t="s">
        <v>3</v>
      </c>
      <c r="D7" s="1">
        <v>0.3125</v>
      </c>
      <c r="E7">
        <v>5</v>
      </c>
      <c r="F7">
        <v>900</v>
      </c>
      <c r="G7">
        <v>2</v>
      </c>
      <c r="H7">
        <v>2.5</v>
      </c>
      <c r="I7" t="e">
        <v>#NAME?</v>
      </c>
      <c r="J7">
        <v>2</v>
      </c>
      <c r="K7" t="e">
        <v>#NAME?</v>
      </c>
      <c r="L7">
        <v>3</v>
      </c>
      <c r="M7">
        <v>2</v>
      </c>
      <c r="N7">
        <v>-1</v>
      </c>
      <c r="O7">
        <v>0.5234760046005249</v>
      </c>
      <c r="P7">
        <v>1</v>
      </c>
      <c r="Q7">
        <v>0.41666666666666669</v>
      </c>
      <c r="R7">
        <v>0.1</v>
      </c>
      <c r="S7">
        <f t="shared" si="0"/>
        <v>2.6173800230026245</v>
      </c>
      <c r="T7">
        <f t="shared" si="1"/>
        <v>5</v>
      </c>
      <c r="U7">
        <f t="shared" si="2"/>
        <v>3600</v>
      </c>
    </row>
    <row r="8" spans="2:21" x14ac:dyDescent="0.25">
      <c r="B8" t="s">
        <v>1</v>
      </c>
      <c r="C8" t="s">
        <v>3</v>
      </c>
      <c r="D8" s="1">
        <v>0.33333333333333331</v>
      </c>
      <c r="E8">
        <v>10</v>
      </c>
      <c r="F8">
        <v>900</v>
      </c>
      <c r="G8">
        <v>2</v>
      </c>
      <c r="H8">
        <v>5</v>
      </c>
      <c r="I8" t="e">
        <v>#NAME?</v>
      </c>
      <c r="J8">
        <v>3</v>
      </c>
      <c r="K8" t="e">
        <v>#NAME?</v>
      </c>
      <c r="L8">
        <v>4</v>
      </c>
      <c r="M8">
        <v>5</v>
      </c>
      <c r="N8">
        <v>1</v>
      </c>
      <c r="O8">
        <v>0.962535560131073</v>
      </c>
      <c r="P8">
        <v>1</v>
      </c>
      <c r="Q8">
        <v>0.33333333333333331</v>
      </c>
      <c r="R8">
        <v>0.1</v>
      </c>
      <c r="S8">
        <f t="shared" si="0"/>
        <v>9.62535560131073</v>
      </c>
      <c r="T8">
        <f t="shared" si="1"/>
        <v>10</v>
      </c>
      <c r="U8">
        <f t="shared" si="2"/>
        <v>9000</v>
      </c>
    </row>
    <row r="9" spans="2:21" x14ac:dyDescent="0.25">
      <c r="B9" t="s">
        <v>1</v>
      </c>
      <c r="C9" t="s">
        <v>3</v>
      </c>
      <c r="D9" s="1">
        <v>0.35416666666666669</v>
      </c>
      <c r="E9">
        <v>13</v>
      </c>
      <c r="F9">
        <v>900</v>
      </c>
      <c r="G9">
        <v>2</v>
      </c>
      <c r="H9">
        <v>6.5</v>
      </c>
      <c r="I9" t="e">
        <v>#NAME?</v>
      </c>
      <c r="J9">
        <v>4</v>
      </c>
      <c r="K9" t="e">
        <v>#NAME?</v>
      </c>
      <c r="L9">
        <v>5</v>
      </c>
      <c r="M9">
        <v>4.5</v>
      </c>
      <c r="N9">
        <v>-0.5</v>
      </c>
      <c r="O9">
        <v>0.91064959764480591</v>
      </c>
      <c r="P9">
        <v>1</v>
      </c>
      <c r="Q9">
        <v>0.48148148148148145</v>
      </c>
      <c r="R9">
        <v>0.1</v>
      </c>
      <c r="S9">
        <f t="shared" si="0"/>
        <v>11.838444769382477</v>
      </c>
      <c r="T9">
        <f t="shared" si="1"/>
        <v>13</v>
      </c>
      <c r="U9">
        <f t="shared" si="2"/>
        <v>8100</v>
      </c>
    </row>
    <row r="10" spans="2:21" x14ac:dyDescent="0.25">
      <c r="B10" t="s">
        <v>1</v>
      </c>
      <c r="C10" t="s">
        <v>3</v>
      </c>
      <c r="D10" s="1">
        <v>0.375</v>
      </c>
      <c r="E10">
        <v>8</v>
      </c>
      <c r="F10">
        <v>900</v>
      </c>
      <c r="G10">
        <v>2</v>
      </c>
      <c r="H10">
        <v>4</v>
      </c>
      <c r="I10" t="e">
        <v>#NAME?</v>
      </c>
      <c r="J10">
        <v>3</v>
      </c>
      <c r="K10" t="e">
        <v>#NAME?</v>
      </c>
      <c r="L10">
        <v>4</v>
      </c>
      <c r="M10">
        <v>6</v>
      </c>
      <c r="N10">
        <v>2</v>
      </c>
      <c r="O10">
        <v>0.99658840894699097</v>
      </c>
      <c r="P10">
        <v>1</v>
      </c>
      <c r="Q10">
        <v>0.22222222222222221</v>
      </c>
      <c r="R10">
        <v>0.1</v>
      </c>
      <c r="S10">
        <f t="shared" si="0"/>
        <v>7.9727072715759277</v>
      </c>
      <c r="T10">
        <f t="shared" si="1"/>
        <v>8</v>
      </c>
      <c r="U10">
        <f t="shared" si="2"/>
        <v>10800</v>
      </c>
    </row>
    <row r="11" spans="2:21" x14ac:dyDescent="0.25">
      <c r="B11" t="s">
        <v>1</v>
      </c>
      <c r="C11" t="s">
        <v>3</v>
      </c>
      <c r="D11" s="1">
        <v>0.39583333333333331</v>
      </c>
      <c r="E11">
        <v>19</v>
      </c>
      <c r="F11">
        <v>900</v>
      </c>
      <c r="G11">
        <v>2</v>
      </c>
      <c r="H11">
        <v>9.5</v>
      </c>
      <c r="I11" t="e">
        <v>#NAME?</v>
      </c>
      <c r="J11">
        <v>5</v>
      </c>
      <c r="K11" t="e">
        <v>#NAME?</v>
      </c>
      <c r="L11">
        <v>6</v>
      </c>
      <c r="M11">
        <v>5.5</v>
      </c>
      <c r="N11">
        <v>-0.5</v>
      </c>
      <c r="O11">
        <v>0.78074133396148682</v>
      </c>
      <c r="P11">
        <v>1</v>
      </c>
      <c r="Q11">
        <v>0.5757575757575758</v>
      </c>
      <c r="R11">
        <v>0.1</v>
      </c>
      <c r="S11">
        <f t="shared" si="0"/>
        <v>14.83408534526825</v>
      </c>
      <c r="T11">
        <f t="shared" si="1"/>
        <v>19</v>
      </c>
      <c r="U11">
        <f t="shared" si="2"/>
        <v>9900</v>
      </c>
    </row>
    <row r="12" spans="2:21" x14ac:dyDescent="0.25">
      <c r="B12" t="s">
        <v>1</v>
      </c>
      <c r="C12" t="s">
        <v>3</v>
      </c>
      <c r="D12" s="1">
        <v>0.41666666666666669</v>
      </c>
      <c r="E12">
        <v>24</v>
      </c>
      <c r="F12">
        <v>900</v>
      </c>
      <c r="G12">
        <v>2</v>
      </c>
      <c r="H12">
        <v>12</v>
      </c>
      <c r="I12" t="e">
        <v>#NAME?</v>
      </c>
      <c r="J12">
        <v>6</v>
      </c>
      <c r="K12" t="e">
        <v>#NAME?</v>
      </c>
      <c r="L12">
        <v>7</v>
      </c>
      <c r="M12">
        <v>5</v>
      </c>
      <c r="N12">
        <v>-2</v>
      </c>
      <c r="O12">
        <v>0.57651621103286743</v>
      </c>
      <c r="P12">
        <v>0.93333333333333357</v>
      </c>
      <c r="Q12">
        <v>0.8</v>
      </c>
      <c r="R12">
        <v>0.1</v>
      </c>
      <c r="S12">
        <f t="shared" si="0"/>
        <v>13.836389064788818</v>
      </c>
      <c r="T12">
        <f t="shared" si="1"/>
        <v>22.400000000000006</v>
      </c>
      <c r="U12">
        <f t="shared" si="2"/>
        <v>9000</v>
      </c>
    </row>
    <row r="13" spans="2:21" x14ac:dyDescent="0.25">
      <c r="B13" t="s">
        <v>1</v>
      </c>
      <c r="C13" t="s">
        <v>3</v>
      </c>
      <c r="D13" s="1">
        <v>0.4375</v>
      </c>
      <c r="E13">
        <v>17</v>
      </c>
      <c r="F13">
        <v>900</v>
      </c>
      <c r="G13">
        <v>2</v>
      </c>
      <c r="H13">
        <v>8.5</v>
      </c>
      <c r="I13" t="e">
        <v>#NAME?</v>
      </c>
      <c r="J13">
        <v>4</v>
      </c>
      <c r="K13" t="e">
        <v>#NAME?</v>
      </c>
      <c r="L13">
        <v>5</v>
      </c>
      <c r="M13">
        <v>6.5</v>
      </c>
      <c r="N13">
        <v>1.5</v>
      </c>
      <c r="O13">
        <v>0.93784499168395996</v>
      </c>
      <c r="P13">
        <v>0.94117647058823528</v>
      </c>
      <c r="Q13">
        <v>0.4358974358974359</v>
      </c>
      <c r="R13">
        <v>0.1</v>
      </c>
      <c r="S13">
        <f t="shared" si="0"/>
        <v>15.943364858627319</v>
      </c>
      <c r="T13">
        <f t="shared" si="1"/>
        <v>16</v>
      </c>
      <c r="U13">
        <f t="shared" si="2"/>
        <v>11700</v>
      </c>
    </row>
    <row r="14" spans="2:21" x14ac:dyDescent="0.25">
      <c r="B14" t="s">
        <v>1</v>
      </c>
      <c r="C14" t="s">
        <v>3</v>
      </c>
      <c r="D14" s="1">
        <v>0.45833333333333331</v>
      </c>
      <c r="E14">
        <v>23</v>
      </c>
      <c r="F14">
        <v>900</v>
      </c>
      <c r="G14">
        <v>2</v>
      </c>
      <c r="H14">
        <v>11.5</v>
      </c>
      <c r="I14" t="e">
        <v>#NAME?</v>
      </c>
      <c r="J14">
        <v>5</v>
      </c>
      <c r="K14" t="e">
        <v>#NAME?</v>
      </c>
      <c r="L14">
        <v>6</v>
      </c>
      <c r="M14">
        <v>8</v>
      </c>
      <c r="N14">
        <v>2</v>
      </c>
      <c r="O14">
        <v>0.97259116172790527</v>
      </c>
      <c r="P14">
        <v>0.83478260869565235</v>
      </c>
      <c r="Q14">
        <v>0.47916666666666669</v>
      </c>
      <c r="R14">
        <v>0.1</v>
      </c>
      <c r="S14">
        <f t="shared" si="0"/>
        <v>22.369596719741821</v>
      </c>
      <c r="T14">
        <f t="shared" si="1"/>
        <v>19.200000000000003</v>
      </c>
      <c r="U14">
        <f t="shared" si="2"/>
        <v>14400</v>
      </c>
    </row>
    <row r="15" spans="2:21" x14ac:dyDescent="0.25">
      <c r="B15" t="s">
        <v>1</v>
      </c>
      <c r="C15" t="s">
        <v>3</v>
      </c>
      <c r="D15" s="1">
        <v>0.47916666666666669</v>
      </c>
      <c r="E15">
        <v>14</v>
      </c>
      <c r="F15">
        <v>900</v>
      </c>
      <c r="G15">
        <v>2</v>
      </c>
      <c r="H15">
        <v>7</v>
      </c>
      <c r="I15" t="e">
        <v>#NAME?</v>
      </c>
      <c r="J15">
        <v>4</v>
      </c>
      <c r="K15" t="e">
        <v>#NAME?</v>
      </c>
      <c r="L15">
        <v>5</v>
      </c>
      <c r="M15">
        <v>7.5</v>
      </c>
      <c r="N15">
        <v>2.5</v>
      </c>
      <c r="O15">
        <v>0.99162739515304565</v>
      </c>
      <c r="P15">
        <v>1</v>
      </c>
      <c r="Q15">
        <v>0.31111111111111112</v>
      </c>
      <c r="R15">
        <v>0.1</v>
      </c>
      <c r="S15">
        <f t="shared" si="0"/>
        <v>13.882783532142639</v>
      </c>
      <c r="T15">
        <f t="shared" si="1"/>
        <v>14</v>
      </c>
      <c r="U15">
        <f t="shared" si="2"/>
        <v>13500</v>
      </c>
    </row>
    <row r="16" spans="2:21" x14ac:dyDescent="0.25">
      <c r="B16" t="s">
        <v>1</v>
      </c>
      <c r="C16" t="s">
        <v>3</v>
      </c>
      <c r="D16" s="1">
        <v>0.5</v>
      </c>
      <c r="E16">
        <v>15</v>
      </c>
      <c r="F16">
        <v>900</v>
      </c>
      <c r="G16">
        <v>2</v>
      </c>
      <c r="H16">
        <v>7.5</v>
      </c>
      <c r="I16" t="e">
        <v>#NAME?</v>
      </c>
      <c r="J16">
        <v>4</v>
      </c>
      <c r="K16" t="e">
        <v>#NAME?</v>
      </c>
      <c r="L16">
        <v>5</v>
      </c>
      <c r="M16">
        <v>6.5</v>
      </c>
      <c r="N16">
        <v>1.5</v>
      </c>
      <c r="O16">
        <v>0.96015948057174683</v>
      </c>
      <c r="P16">
        <v>1</v>
      </c>
      <c r="Q16">
        <v>0.38461538461538464</v>
      </c>
      <c r="R16">
        <v>0.1</v>
      </c>
      <c r="S16">
        <f t="shared" si="0"/>
        <v>14.402392208576202</v>
      </c>
      <c r="T16">
        <f t="shared" si="1"/>
        <v>15</v>
      </c>
      <c r="U16">
        <f t="shared" si="2"/>
        <v>11700</v>
      </c>
    </row>
    <row r="17" spans="2:21" x14ac:dyDescent="0.25">
      <c r="B17" t="s">
        <v>1</v>
      </c>
      <c r="C17" t="s">
        <v>3</v>
      </c>
      <c r="D17" s="1">
        <v>0.52083333333333337</v>
      </c>
      <c r="E17">
        <v>13</v>
      </c>
      <c r="F17">
        <v>900</v>
      </c>
      <c r="G17">
        <v>2</v>
      </c>
      <c r="H17">
        <v>6.5</v>
      </c>
      <c r="I17" t="e">
        <v>#NAME?</v>
      </c>
      <c r="J17">
        <v>4</v>
      </c>
      <c r="K17" t="e">
        <v>#NAME?</v>
      </c>
      <c r="L17">
        <v>5</v>
      </c>
      <c r="M17">
        <v>4.5</v>
      </c>
      <c r="N17">
        <v>-0.5</v>
      </c>
      <c r="O17">
        <v>0.91064959764480591</v>
      </c>
      <c r="P17">
        <v>1</v>
      </c>
      <c r="Q17">
        <v>0.48148148148148145</v>
      </c>
      <c r="R17">
        <v>0.1</v>
      </c>
      <c r="S17">
        <f t="shared" si="0"/>
        <v>11.838444769382477</v>
      </c>
      <c r="T17">
        <f t="shared" si="1"/>
        <v>13</v>
      </c>
      <c r="U17">
        <f t="shared" si="2"/>
        <v>8100</v>
      </c>
    </row>
    <row r="18" spans="2:21" x14ac:dyDescent="0.25">
      <c r="B18" t="s">
        <v>1</v>
      </c>
      <c r="C18" t="s">
        <v>3</v>
      </c>
      <c r="D18" s="1">
        <v>0.54166666666666663</v>
      </c>
      <c r="E18">
        <v>13</v>
      </c>
      <c r="F18">
        <v>900</v>
      </c>
      <c r="G18">
        <v>2</v>
      </c>
      <c r="H18">
        <v>6.5</v>
      </c>
      <c r="I18" t="e">
        <v>#NAME?</v>
      </c>
      <c r="J18">
        <v>4</v>
      </c>
      <c r="K18" t="e">
        <v>#NAME?</v>
      </c>
      <c r="L18">
        <v>5</v>
      </c>
      <c r="M18">
        <v>4</v>
      </c>
      <c r="N18">
        <v>-1</v>
      </c>
      <c r="O18">
        <v>0.76230818033218384</v>
      </c>
      <c r="P18">
        <v>1</v>
      </c>
      <c r="Q18">
        <v>0.54166666666666663</v>
      </c>
      <c r="R18">
        <v>0.1</v>
      </c>
      <c r="S18">
        <f t="shared" si="0"/>
        <v>9.9100063443183899</v>
      </c>
      <c r="T18">
        <f t="shared" si="1"/>
        <v>13</v>
      </c>
      <c r="U18">
        <f t="shared" si="2"/>
        <v>7200</v>
      </c>
    </row>
    <row r="19" spans="2:21" x14ac:dyDescent="0.25">
      <c r="B19" t="s">
        <v>1</v>
      </c>
      <c r="C19" t="s">
        <v>3</v>
      </c>
      <c r="D19" s="1">
        <v>0.5625</v>
      </c>
      <c r="E19">
        <v>11</v>
      </c>
      <c r="F19">
        <v>900</v>
      </c>
      <c r="G19">
        <v>2</v>
      </c>
      <c r="H19">
        <v>5.5</v>
      </c>
      <c r="I19" t="e">
        <v>#NAME?</v>
      </c>
      <c r="J19">
        <v>3</v>
      </c>
      <c r="K19" t="e">
        <v>#NAME?</v>
      </c>
      <c r="L19">
        <v>4</v>
      </c>
      <c r="M19">
        <v>5</v>
      </c>
      <c r="N19">
        <v>1</v>
      </c>
      <c r="O19">
        <v>0.94957733154296875</v>
      </c>
      <c r="P19">
        <v>1</v>
      </c>
      <c r="Q19">
        <v>0.36666666666666664</v>
      </c>
      <c r="R19">
        <v>0.1</v>
      </c>
      <c r="S19">
        <f t="shared" si="0"/>
        <v>10.445350646972656</v>
      </c>
      <c r="T19">
        <f t="shared" si="1"/>
        <v>11</v>
      </c>
      <c r="U19">
        <f t="shared" si="2"/>
        <v>9000</v>
      </c>
    </row>
    <row r="20" spans="2:21" x14ac:dyDescent="0.25">
      <c r="B20" t="s">
        <v>1</v>
      </c>
      <c r="C20" t="s">
        <v>3</v>
      </c>
      <c r="D20" s="1">
        <v>0.58333333333333337</v>
      </c>
      <c r="E20">
        <v>21</v>
      </c>
      <c r="F20">
        <v>900</v>
      </c>
      <c r="G20">
        <v>2</v>
      </c>
      <c r="H20">
        <v>10.5</v>
      </c>
      <c r="I20" t="e">
        <v>#NAME?</v>
      </c>
      <c r="J20">
        <v>5</v>
      </c>
      <c r="K20" t="e">
        <v>#NAME?</v>
      </c>
      <c r="L20">
        <v>6</v>
      </c>
      <c r="M20">
        <v>6</v>
      </c>
      <c r="N20">
        <v>0</v>
      </c>
      <c r="O20">
        <v>0.86508065462112427</v>
      </c>
      <c r="P20">
        <v>0.91428571428571437</v>
      </c>
      <c r="Q20">
        <v>0.58333333333333337</v>
      </c>
      <c r="R20">
        <v>0.1</v>
      </c>
      <c r="S20">
        <f t="shared" si="0"/>
        <v>18.16669374704361</v>
      </c>
      <c r="T20">
        <f t="shared" si="1"/>
        <v>19.200000000000003</v>
      </c>
      <c r="U20">
        <f t="shared" si="2"/>
        <v>10800</v>
      </c>
    </row>
    <row r="21" spans="2:21" x14ac:dyDescent="0.25">
      <c r="B21" t="s">
        <v>1</v>
      </c>
      <c r="C21" t="s">
        <v>3</v>
      </c>
      <c r="D21" s="1">
        <v>0.60416666666666663</v>
      </c>
      <c r="E21">
        <v>24</v>
      </c>
      <c r="F21">
        <v>900</v>
      </c>
      <c r="G21">
        <v>2</v>
      </c>
      <c r="H21">
        <v>12</v>
      </c>
      <c r="I21" t="e">
        <v>#NAME?</v>
      </c>
      <c r="J21">
        <v>6</v>
      </c>
      <c r="K21" t="e">
        <v>#NAME?</v>
      </c>
      <c r="L21">
        <v>7</v>
      </c>
      <c r="M21">
        <v>7</v>
      </c>
      <c r="N21">
        <v>0</v>
      </c>
      <c r="O21">
        <v>0.91165685653686523</v>
      </c>
      <c r="P21">
        <v>0.93333333333333357</v>
      </c>
      <c r="Q21">
        <v>0.5714285714285714</v>
      </c>
      <c r="R21">
        <v>0.1</v>
      </c>
      <c r="S21">
        <f t="shared" si="0"/>
        <v>21.879764556884766</v>
      </c>
      <c r="T21">
        <f t="shared" si="1"/>
        <v>22.400000000000006</v>
      </c>
      <c r="U21">
        <f t="shared" si="2"/>
        <v>12600</v>
      </c>
    </row>
    <row r="22" spans="2:21" x14ac:dyDescent="0.25">
      <c r="B22" t="s">
        <v>1</v>
      </c>
      <c r="C22" t="s">
        <v>3</v>
      </c>
      <c r="D22" s="1">
        <v>0.625</v>
      </c>
      <c r="E22">
        <v>18</v>
      </c>
      <c r="F22">
        <v>900</v>
      </c>
      <c r="G22">
        <v>2</v>
      </c>
      <c r="H22">
        <v>9</v>
      </c>
      <c r="I22" t="e">
        <v>#NAME?</v>
      </c>
      <c r="J22">
        <v>5</v>
      </c>
      <c r="K22" t="e">
        <v>#NAME?</v>
      </c>
      <c r="L22">
        <v>6</v>
      </c>
      <c r="M22">
        <v>7.5</v>
      </c>
      <c r="N22">
        <v>1.5</v>
      </c>
      <c r="O22">
        <v>0.9742501974105835</v>
      </c>
      <c r="P22">
        <v>1</v>
      </c>
      <c r="Q22">
        <v>0.4</v>
      </c>
      <c r="R22">
        <v>0.1</v>
      </c>
      <c r="S22">
        <f t="shared" si="0"/>
        <v>17.536503553390503</v>
      </c>
      <c r="T22">
        <f t="shared" si="1"/>
        <v>18</v>
      </c>
      <c r="U22">
        <f t="shared" si="2"/>
        <v>13500</v>
      </c>
    </row>
    <row r="23" spans="2:21" x14ac:dyDescent="0.25">
      <c r="B23" t="s">
        <v>1</v>
      </c>
      <c r="C23" t="s">
        <v>3</v>
      </c>
      <c r="D23" s="1">
        <v>0.64583333333333337</v>
      </c>
      <c r="E23">
        <v>17</v>
      </c>
      <c r="F23">
        <v>900</v>
      </c>
      <c r="G23">
        <v>2</v>
      </c>
      <c r="H23">
        <v>8.5</v>
      </c>
      <c r="I23" t="e">
        <v>#NAME?</v>
      </c>
      <c r="J23">
        <v>4</v>
      </c>
      <c r="K23" t="e">
        <v>#NAME?</v>
      </c>
      <c r="L23">
        <v>5</v>
      </c>
      <c r="M23">
        <v>7.5</v>
      </c>
      <c r="N23">
        <v>2.5</v>
      </c>
      <c r="O23">
        <v>0.97990155220031738</v>
      </c>
      <c r="P23">
        <v>0.94117647058823528</v>
      </c>
      <c r="Q23">
        <v>0.37777777777777777</v>
      </c>
      <c r="R23">
        <v>0.1</v>
      </c>
      <c r="S23">
        <f t="shared" si="0"/>
        <v>16.658326387405396</v>
      </c>
      <c r="T23">
        <f t="shared" si="1"/>
        <v>16</v>
      </c>
      <c r="U23">
        <f t="shared" si="2"/>
        <v>13500</v>
      </c>
    </row>
    <row r="24" spans="2:21" x14ac:dyDescent="0.25">
      <c r="B24" t="s">
        <v>1</v>
      </c>
      <c r="C24" t="s">
        <v>3</v>
      </c>
      <c r="D24" s="1">
        <v>0.66666666666666663</v>
      </c>
      <c r="E24">
        <v>25</v>
      </c>
      <c r="F24">
        <v>900</v>
      </c>
      <c r="G24">
        <v>2</v>
      </c>
      <c r="H24">
        <v>12.5</v>
      </c>
      <c r="I24" t="e">
        <v>#NAME?</v>
      </c>
      <c r="J24">
        <v>6</v>
      </c>
      <c r="K24" t="e">
        <v>#NAME?</v>
      </c>
      <c r="L24">
        <v>7</v>
      </c>
      <c r="M24">
        <v>7.5</v>
      </c>
      <c r="N24">
        <v>0.5</v>
      </c>
      <c r="O24">
        <v>0.90321463346481323</v>
      </c>
      <c r="P24">
        <v>0.89600000000000024</v>
      </c>
      <c r="Q24">
        <v>0.55555555555555558</v>
      </c>
      <c r="R24">
        <v>0.1</v>
      </c>
      <c r="S24">
        <f t="shared" si="0"/>
        <v>22.580365836620331</v>
      </c>
      <c r="T24">
        <f t="shared" si="1"/>
        <v>22.400000000000006</v>
      </c>
      <c r="U24">
        <f t="shared" si="2"/>
        <v>13500</v>
      </c>
    </row>
    <row r="25" spans="2:21" x14ac:dyDescent="0.25">
      <c r="B25" t="s">
        <v>1</v>
      </c>
      <c r="C25" t="s">
        <v>3</v>
      </c>
      <c r="D25" s="1">
        <v>0.6875</v>
      </c>
      <c r="E25">
        <v>21</v>
      </c>
      <c r="F25">
        <v>900</v>
      </c>
      <c r="G25">
        <v>2</v>
      </c>
      <c r="H25">
        <v>10.5</v>
      </c>
      <c r="I25" t="e">
        <v>#NAME?</v>
      </c>
      <c r="J25">
        <v>5</v>
      </c>
      <c r="K25" t="e">
        <v>#NAME?</v>
      </c>
      <c r="L25">
        <v>6</v>
      </c>
      <c r="M25">
        <v>7.5</v>
      </c>
      <c r="N25">
        <v>1.5</v>
      </c>
      <c r="O25">
        <v>0.95099920034408569</v>
      </c>
      <c r="P25">
        <v>0.91428571428571437</v>
      </c>
      <c r="Q25">
        <v>0.46666666666666667</v>
      </c>
      <c r="R25">
        <v>0.1</v>
      </c>
      <c r="S25">
        <f t="shared" si="0"/>
        <v>19.9709832072258</v>
      </c>
      <c r="T25">
        <f t="shared" si="1"/>
        <v>19.200000000000003</v>
      </c>
      <c r="U25">
        <f t="shared" si="2"/>
        <v>13500</v>
      </c>
    </row>
    <row r="26" spans="2:21" x14ac:dyDescent="0.25">
      <c r="B26" t="s">
        <v>1</v>
      </c>
      <c r="C26" t="s">
        <v>3</v>
      </c>
      <c r="D26" s="1">
        <v>0.70833333333333337</v>
      </c>
      <c r="E26">
        <v>21</v>
      </c>
      <c r="F26">
        <v>900</v>
      </c>
      <c r="G26">
        <v>2</v>
      </c>
      <c r="H26">
        <v>10.5</v>
      </c>
      <c r="I26" t="e">
        <v>#NAME?</v>
      </c>
      <c r="J26">
        <v>5</v>
      </c>
      <c r="K26" t="e">
        <v>#NAME?</v>
      </c>
      <c r="L26">
        <v>6</v>
      </c>
      <c r="M26">
        <v>5</v>
      </c>
      <c r="N26">
        <v>-1</v>
      </c>
      <c r="O26">
        <v>0.69296234846115112</v>
      </c>
      <c r="P26">
        <v>0.91428571428571437</v>
      </c>
      <c r="Q26">
        <v>0.7</v>
      </c>
      <c r="R26">
        <v>0.1</v>
      </c>
      <c r="S26">
        <f t="shared" si="0"/>
        <v>14.552209317684174</v>
      </c>
      <c r="T26">
        <f t="shared" si="1"/>
        <v>19.200000000000003</v>
      </c>
      <c r="U26">
        <f t="shared" si="2"/>
        <v>9000</v>
      </c>
    </row>
    <row r="27" spans="2:21" x14ac:dyDescent="0.25">
      <c r="B27" t="s">
        <v>1</v>
      </c>
      <c r="C27" t="s">
        <v>3</v>
      </c>
      <c r="D27" s="1">
        <v>0.72916666666666663</v>
      </c>
      <c r="E27">
        <v>15</v>
      </c>
      <c r="F27">
        <v>900</v>
      </c>
      <c r="G27">
        <v>2</v>
      </c>
      <c r="H27">
        <v>7.5</v>
      </c>
      <c r="I27" t="e">
        <v>#NAME?</v>
      </c>
      <c r="J27">
        <v>4</v>
      </c>
      <c r="K27" t="e">
        <v>#NAME?</v>
      </c>
      <c r="L27">
        <v>5</v>
      </c>
      <c r="M27">
        <v>4.5</v>
      </c>
      <c r="N27">
        <v>-0.5</v>
      </c>
      <c r="O27">
        <v>0.86343234777450562</v>
      </c>
      <c r="P27">
        <v>1</v>
      </c>
      <c r="Q27">
        <v>0.55555555555555558</v>
      </c>
      <c r="R27">
        <v>0.1</v>
      </c>
      <c r="S27">
        <f t="shared" si="0"/>
        <v>12.951485216617584</v>
      </c>
      <c r="T27">
        <f t="shared" si="1"/>
        <v>15</v>
      </c>
      <c r="U27">
        <f t="shared" si="2"/>
        <v>8100</v>
      </c>
    </row>
    <row r="28" spans="2:21" x14ac:dyDescent="0.25">
      <c r="B28" t="s">
        <v>1</v>
      </c>
      <c r="C28" t="s">
        <v>3</v>
      </c>
      <c r="D28" s="1">
        <v>0.75</v>
      </c>
      <c r="E28">
        <v>13</v>
      </c>
      <c r="F28">
        <v>900</v>
      </c>
      <c r="G28">
        <v>2</v>
      </c>
      <c r="H28">
        <v>6.5</v>
      </c>
      <c r="I28" t="e">
        <v>#NAME?</v>
      </c>
      <c r="J28">
        <v>4</v>
      </c>
      <c r="K28" t="e">
        <v>#NAME?</v>
      </c>
      <c r="L28">
        <v>5</v>
      </c>
      <c r="M28">
        <v>3.5</v>
      </c>
      <c r="N28">
        <v>-1.5</v>
      </c>
      <c r="O28">
        <v>0.73665297031402588</v>
      </c>
      <c r="P28">
        <v>1</v>
      </c>
      <c r="Q28">
        <v>0.61904761904761907</v>
      </c>
      <c r="R28">
        <v>0.1</v>
      </c>
      <c r="S28">
        <f t="shared" si="0"/>
        <v>9.5764886140823364</v>
      </c>
      <c r="T28">
        <f t="shared" si="1"/>
        <v>13</v>
      </c>
      <c r="U28">
        <f t="shared" si="2"/>
        <v>6300</v>
      </c>
    </row>
    <row r="29" spans="2:21" x14ac:dyDescent="0.25">
      <c r="B29" t="s">
        <v>1</v>
      </c>
      <c r="C29" t="s">
        <v>3</v>
      </c>
      <c r="D29" s="1">
        <v>0.77083333333333337</v>
      </c>
      <c r="E29">
        <v>8</v>
      </c>
      <c r="F29">
        <v>900</v>
      </c>
      <c r="G29">
        <v>2</v>
      </c>
      <c r="H29">
        <v>4</v>
      </c>
      <c r="I29" t="e">
        <v>#NAME?</v>
      </c>
      <c r="J29">
        <v>3</v>
      </c>
      <c r="K29" t="e">
        <v>#NAME?</v>
      </c>
      <c r="L29">
        <v>4</v>
      </c>
      <c r="M29">
        <v>3.5</v>
      </c>
      <c r="N29">
        <v>-0.5</v>
      </c>
      <c r="O29">
        <v>0.9151684045791626</v>
      </c>
      <c r="P29">
        <v>1</v>
      </c>
      <c r="Q29">
        <v>0.38095238095238093</v>
      </c>
      <c r="R29">
        <v>0.1</v>
      </c>
      <c r="S29">
        <f t="shared" si="0"/>
        <v>7.3213472366333008</v>
      </c>
      <c r="T29">
        <f t="shared" si="1"/>
        <v>8</v>
      </c>
      <c r="U29">
        <f t="shared" si="2"/>
        <v>6300</v>
      </c>
    </row>
    <row r="30" spans="2:21" x14ac:dyDescent="0.25">
      <c r="B30" t="s">
        <v>1</v>
      </c>
      <c r="C30" t="s">
        <v>3</v>
      </c>
      <c r="D30" s="1">
        <v>0.79166666666666663</v>
      </c>
      <c r="E30">
        <v>3</v>
      </c>
      <c r="F30">
        <v>900</v>
      </c>
      <c r="G30">
        <v>2</v>
      </c>
      <c r="H30">
        <v>1.5</v>
      </c>
      <c r="I30" t="e">
        <v>#NAME?</v>
      </c>
      <c r="J30">
        <v>2</v>
      </c>
      <c r="K30" t="e">
        <v>#NAME?</v>
      </c>
      <c r="L30">
        <v>3</v>
      </c>
      <c r="M30">
        <v>3</v>
      </c>
      <c r="N30">
        <v>0</v>
      </c>
      <c r="O30">
        <v>0.94676727056503296</v>
      </c>
      <c r="P30">
        <v>1</v>
      </c>
      <c r="Q30">
        <v>0.16666666666666666</v>
      </c>
      <c r="R30">
        <v>0.1</v>
      </c>
      <c r="S30">
        <f t="shared" si="0"/>
        <v>2.8403018116950989</v>
      </c>
      <c r="T30">
        <f t="shared" si="1"/>
        <v>3</v>
      </c>
      <c r="U30">
        <f t="shared" si="2"/>
        <v>5400</v>
      </c>
    </row>
    <row r="31" spans="2:21" x14ac:dyDescent="0.25">
      <c r="B31" t="s">
        <v>1</v>
      </c>
      <c r="C31" t="s">
        <v>3</v>
      </c>
      <c r="D31" s="1">
        <v>0.8125</v>
      </c>
      <c r="E31">
        <v>1</v>
      </c>
      <c r="F31">
        <v>900</v>
      </c>
      <c r="G31">
        <v>2</v>
      </c>
      <c r="H31">
        <v>0.5</v>
      </c>
      <c r="I31" t="e">
        <v>#NAME?</v>
      </c>
      <c r="J31">
        <v>1</v>
      </c>
      <c r="K31" t="e">
        <v>#NAME?</v>
      </c>
      <c r="L31">
        <v>2</v>
      </c>
      <c r="M31">
        <v>3</v>
      </c>
      <c r="N31">
        <v>1</v>
      </c>
      <c r="O31">
        <v>0.99317312240600586</v>
      </c>
      <c r="P31">
        <v>1</v>
      </c>
      <c r="Q31">
        <v>5.5555555555555552E-2</v>
      </c>
      <c r="R31">
        <v>0.1</v>
      </c>
      <c r="S31">
        <f t="shared" si="0"/>
        <v>0.99317312240600586</v>
      </c>
      <c r="T31">
        <f t="shared" si="1"/>
        <v>1</v>
      </c>
      <c r="U31">
        <f t="shared" si="2"/>
        <v>5400</v>
      </c>
    </row>
    <row r="32" spans="2:21" x14ac:dyDescent="0.25">
      <c r="B32" t="s">
        <v>1</v>
      </c>
      <c r="C32" t="s">
        <v>3</v>
      </c>
      <c r="D32" s="1">
        <v>0.83333333333333337</v>
      </c>
      <c r="E32">
        <v>0</v>
      </c>
      <c r="F32">
        <v>0</v>
      </c>
      <c r="G32">
        <v>2</v>
      </c>
      <c r="H32">
        <v>0</v>
      </c>
      <c r="I32" t="e">
        <v>#NAME?</v>
      </c>
      <c r="J32">
        <v>1</v>
      </c>
      <c r="K32" t="e">
        <v>#NAME?</v>
      </c>
      <c r="L32">
        <v>2</v>
      </c>
      <c r="M32">
        <v>2</v>
      </c>
      <c r="N32">
        <v>0</v>
      </c>
      <c r="O32" t="s">
        <v>72</v>
      </c>
      <c r="P32" t="s">
        <v>72</v>
      </c>
      <c r="Q32">
        <v>0</v>
      </c>
      <c r="R32">
        <v>0.1</v>
      </c>
      <c r="S32" t="str">
        <f t="shared" si="0"/>
        <v/>
      </c>
      <c r="T32" t="str">
        <f t="shared" si="1"/>
        <v/>
      </c>
      <c r="U32">
        <f t="shared" si="2"/>
        <v>3600</v>
      </c>
    </row>
    <row r="33" spans="2:21" x14ac:dyDescent="0.25">
      <c r="B33" t="s">
        <v>1</v>
      </c>
      <c r="C33" t="s">
        <v>3</v>
      </c>
      <c r="D33" s="1">
        <v>0.85416666666666663</v>
      </c>
      <c r="E33">
        <v>1</v>
      </c>
      <c r="F33">
        <v>900</v>
      </c>
      <c r="G33">
        <v>2</v>
      </c>
      <c r="H33">
        <v>0.5</v>
      </c>
      <c r="I33" t="e">
        <v>#NAME?</v>
      </c>
      <c r="J33">
        <v>1</v>
      </c>
      <c r="K33" t="e">
        <v>#NAME?</v>
      </c>
      <c r="L33">
        <v>2</v>
      </c>
      <c r="M33">
        <v>2</v>
      </c>
      <c r="N33">
        <v>0</v>
      </c>
      <c r="O33">
        <v>0.88590580224990845</v>
      </c>
      <c r="P33">
        <v>1</v>
      </c>
      <c r="Q33">
        <v>8.3333333333333329E-2</v>
      </c>
      <c r="R33">
        <v>0.1</v>
      </c>
      <c r="S33">
        <f t="shared" si="0"/>
        <v>0.88590580224990845</v>
      </c>
      <c r="T33">
        <f t="shared" si="1"/>
        <v>1</v>
      </c>
      <c r="U33">
        <f t="shared" si="2"/>
        <v>3600</v>
      </c>
    </row>
    <row r="34" spans="2:21" x14ac:dyDescent="0.25">
      <c r="B34" t="s">
        <v>1</v>
      </c>
      <c r="C34" t="s">
        <v>3</v>
      </c>
      <c r="D34" s="1">
        <v>0.875</v>
      </c>
      <c r="E34">
        <v>0</v>
      </c>
      <c r="F34">
        <v>0</v>
      </c>
      <c r="G34">
        <v>2</v>
      </c>
      <c r="H34">
        <v>0</v>
      </c>
      <c r="I34" t="e">
        <v>#NAME?</v>
      </c>
      <c r="J34">
        <v>1</v>
      </c>
      <c r="K34" t="e">
        <v>#NAME?</v>
      </c>
      <c r="L34">
        <v>2</v>
      </c>
      <c r="M34">
        <v>2</v>
      </c>
      <c r="N34">
        <v>0</v>
      </c>
      <c r="O34" t="s">
        <v>72</v>
      </c>
      <c r="P34" t="s">
        <v>72</v>
      </c>
      <c r="Q34">
        <v>0</v>
      </c>
      <c r="R34">
        <v>0.1</v>
      </c>
      <c r="S34" t="str">
        <f t="shared" si="0"/>
        <v/>
      </c>
      <c r="T34" t="str">
        <f t="shared" si="1"/>
        <v/>
      </c>
      <c r="U34">
        <f t="shared" si="2"/>
        <v>3600</v>
      </c>
    </row>
    <row r="35" spans="2:21" x14ac:dyDescent="0.25">
      <c r="B35" t="s">
        <v>1</v>
      </c>
      <c r="C35" t="s">
        <v>3</v>
      </c>
      <c r="D35" s="1">
        <v>0.89583333333333337</v>
      </c>
      <c r="E35">
        <v>0</v>
      </c>
      <c r="F35">
        <v>0</v>
      </c>
      <c r="G35">
        <v>2</v>
      </c>
      <c r="H35">
        <v>0</v>
      </c>
      <c r="I35" t="e">
        <v>#NAME?</v>
      </c>
      <c r="J35">
        <v>1</v>
      </c>
      <c r="K35" t="e">
        <v>#NAME?</v>
      </c>
      <c r="L35">
        <v>2</v>
      </c>
      <c r="M35">
        <v>2</v>
      </c>
      <c r="N35">
        <v>0</v>
      </c>
      <c r="O35" t="s">
        <v>72</v>
      </c>
      <c r="P35" t="s">
        <v>72</v>
      </c>
      <c r="Q35">
        <v>0</v>
      </c>
      <c r="R35">
        <v>0.1</v>
      </c>
      <c r="S35" t="str">
        <f t="shared" si="0"/>
        <v/>
      </c>
      <c r="T35" t="str">
        <f t="shared" si="1"/>
        <v/>
      </c>
      <c r="U35">
        <f t="shared" si="2"/>
        <v>3600</v>
      </c>
    </row>
    <row r="36" spans="2:21" x14ac:dyDescent="0.25">
      <c r="B36" t="s">
        <v>1</v>
      </c>
      <c r="C36" t="s">
        <v>4</v>
      </c>
      <c r="D36" s="1">
        <v>0.25</v>
      </c>
      <c r="E36">
        <v>0</v>
      </c>
      <c r="F36">
        <v>0</v>
      </c>
      <c r="G36">
        <v>2</v>
      </c>
      <c r="H36">
        <v>0</v>
      </c>
      <c r="I36" t="e">
        <v>#NAME?</v>
      </c>
      <c r="J36">
        <v>1</v>
      </c>
      <c r="K36" t="e">
        <v>#NAME?</v>
      </c>
      <c r="L36">
        <v>2</v>
      </c>
      <c r="M36">
        <v>2</v>
      </c>
      <c r="N36">
        <v>0</v>
      </c>
      <c r="O36" t="s">
        <v>72</v>
      </c>
      <c r="P36" t="s">
        <v>72</v>
      </c>
      <c r="Q36">
        <v>0</v>
      </c>
      <c r="R36">
        <v>0.1</v>
      </c>
      <c r="S36" t="str">
        <f t="shared" si="0"/>
        <v/>
      </c>
      <c r="T36" t="str">
        <f t="shared" si="1"/>
        <v/>
      </c>
      <c r="U36">
        <f t="shared" si="2"/>
        <v>3600</v>
      </c>
    </row>
    <row r="37" spans="2:21" x14ac:dyDescent="0.25">
      <c r="B37" t="s">
        <v>1</v>
      </c>
      <c r="C37" t="s">
        <v>4</v>
      </c>
      <c r="D37" s="1">
        <v>0.27083333333333331</v>
      </c>
      <c r="E37">
        <v>1</v>
      </c>
      <c r="F37">
        <v>900</v>
      </c>
      <c r="G37">
        <v>2</v>
      </c>
      <c r="H37">
        <v>0.5</v>
      </c>
      <c r="I37" t="e">
        <v>#NAME?</v>
      </c>
      <c r="J37">
        <v>1</v>
      </c>
      <c r="K37" t="e">
        <v>#NAME?</v>
      </c>
      <c r="L37">
        <v>2</v>
      </c>
      <c r="M37">
        <v>2</v>
      </c>
      <c r="N37">
        <v>0</v>
      </c>
      <c r="O37">
        <v>0.88590580224990845</v>
      </c>
      <c r="P37">
        <v>1</v>
      </c>
      <c r="Q37">
        <v>8.3333333333333329E-2</v>
      </c>
      <c r="R37">
        <v>0.1</v>
      </c>
      <c r="S37">
        <f t="shared" si="0"/>
        <v>0.88590580224990845</v>
      </c>
      <c r="T37">
        <f t="shared" si="1"/>
        <v>1</v>
      </c>
      <c r="U37">
        <f t="shared" si="2"/>
        <v>3600</v>
      </c>
    </row>
    <row r="38" spans="2:21" x14ac:dyDescent="0.25">
      <c r="B38" t="s">
        <v>1</v>
      </c>
      <c r="C38" t="s">
        <v>4</v>
      </c>
      <c r="D38" s="1">
        <v>0.29166666666666669</v>
      </c>
      <c r="E38">
        <v>3</v>
      </c>
      <c r="F38">
        <v>900</v>
      </c>
      <c r="G38">
        <v>2</v>
      </c>
      <c r="H38">
        <v>1.5</v>
      </c>
      <c r="I38" t="e">
        <v>#NAME?</v>
      </c>
      <c r="J38">
        <v>2</v>
      </c>
      <c r="K38" t="e">
        <v>#NAME?</v>
      </c>
      <c r="L38">
        <v>3</v>
      </c>
      <c r="M38">
        <v>2</v>
      </c>
      <c r="N38">
        <v>-1</v>
      </c>
      <c r="O38">
        <v>0.68859052658081055</v>
      </c>
      <c r="P38">
        <v>1</v>
      </c>
      <c r="Q38">
        <v>0.25</v>
      </c>
      <c r="R38">
        <v>0.1</v>
      </c>
      <c r="S38">
        <f t="shared" si="0"/>
        <v>2.0657715797424316</v>
      </c>
      <c r="T38">
        <f t="shared" si="1"/>
        <v>3</v>
      </c>
      <c r="U38">
        <f t="shared" si="2"/>
        <v>3600</v>
      </c>
    </row>
    <row r="39" spans="2:21" x14ac:dyDescent="0.25">
      <c r="B39" t="s">
        <v>1</v>
      </c>
      <c r="C39" t="s">
        <v>4</v>
      </c>
      <c r="D39" s="1">
        <v>0.3125</v>
      </c>
      <c r="E39">
        <v>5</v>
      </c>
      <c r="F39">
        <v>900</v>
      </c>
      <c r="G39">
        <v>2</v>
      </c>
      <c r="H39">
        <v>2.5</v>
      </c>
      <c r="I39" t="e">
        <v>#NAME?</v>
      </c>
      <c r="J39">
        <v>3</v>
      </c>
      <c r="K39" t="e">
        <v>#NAME?</v>
      </c>
      <c r="L39">
        <v>4</v>
      </c>
      <c r="M39">
        <v>2</v>
      </c>
      <c r="N39">
        <v>-2</v>
      </c>
      <c r="O39">
        <v>0.5234760046005249</v>
      </c>
      <c r="P39">
        <v>1</v>
      </c>
      <c r="Q39">
        <v>0.41666666666666669</v>
      </c>
      <c r="R39">
        <v>0.1</v>
      </c>
      <c r="S39">
        <f t="shared" si="0"/>
        <v>2.6173800230026245</v>
      </c>
      <c r="T39">
        <f t="shared" si="1"/>
        <v>5</v>
      </c>
      <c r="U39">
        <f t="shared" si="2"/>
        <v>3600</v>
      </c>
    </row>
    <row r="40" spans="2:21" x14ac:dyDescent="0.25">
      <c r="B40" t="s">
        <v>1</v>
      </c>
      <c r="C40" t="s">
        <v>4</v>
      </c>
      <c r="D40" s="1">
        <v>0.33333333333333331</v>
      </c>
      <c r="E40">
        <v>16</v>
      </c>
      <c r="F40">
        <v>900</v>
      </c>
      <c r="G40">
        <v>2</v>
      </c>
      <c r="H40">
        <v>8</v>
      </c>
      <c r="I40" t="e">
        <v>#NAME?</v>
      </c>
      <c r="J40">
        <v>5</v>
      </c>
      <c r="K40" t="e">
        <v>#NAME?</v>
      </c>
      <c r="L40">
        <v>6</v>
      </c>
      <c r="M40">
        <v>5</v>
      </c>
      <c r="N40">
        <v>-1</v>
      </c>
      <c r="O40">
        <v>0.84931617975234985</v>
      </c>
      <c r="P40">
        <v>1</v>
      </c>
      <c r="Q40">
        <v>0.53333333333333333</v>
      </c>
      <c r="R40">
        <v>0.1</v>
      </c>
      <c r="S40">
        <f t="shared" si="0"/>
        <v>13.589058876037598</v>
      </c>
      <c r="T40">
        <f t="shared" si="1"/>
        <v>16</v>
      </c>
      <c r="U40">
        <f t="shared" si="2"/>
        <v>9000</v>
      </c>
    </row>
    <row r="41" spans="2:21" x14ac:dyDescent="0.25">
      <c r="B41" t="s">
        <v>1</v>
      </c>
      <c r="C41" t="s">
        <v>4</v>
      </c>
      <c r="D41" s="1">
        <v>0.35416666666666669</v>
      </c>
      <c r="E41">
        <v>17</v>
      </c>
      <c r="F41">
        <v>900</v>
      </c>
      <c r="G41">
        <v>2</v>
      </c>
      <c r="H41">
        <v>8.5</v>
      </c>
      <c r="I41" t="e">
        <v>#NAME?</v>
      </c>
      <c r="J41">
        <v>5</v>
      </c>
      <c r="K41" t="e">
        <v>#NAME?</v>
      </c>
      <c r="L41">
        <v>6</v>
      </c>
      <c r="M41">
        <v>4.5</v>
      </c>
      <c r="N41">
        <v>-1.5</v>
      </c>
      <c r="O41">
        <v>0.80470532178878784</v>
      </c>
      <c r="P41">
        <v>0.98823529411764688</v>
      </c>
      <c r="Q41">
        <v>0.62962962962962965</v>
      </c>
      <c r="R41">
        <v>0.1</v>
      </c>
      <c r="S41">
        <f t="shared" si="0"/>
        <v>13.679990470409393</v>
      </c>
      <c r="T41">
        <f t="shared" si="1"/>
        <v>16.799999999999997</v>
      </c>
      <c r="U41">
        <f t="shared" si="2"/>
        <v>8100</v>
      </c>
    </row>
    <row r="42" spans="2:21" x14ac:dyDescent="0.25">
      <c r="B42" t="s">
        <v>1</v>
      </c>
      <c r="C42" t="s">
        <v>4</v>
      </c>
      <c r="D42" s="1">
        <v>0.375</v>
      </c>
      <c r="E42">
        <v>23</v>
      </c>
      <c r="F42">
        <v>900</v>
      </c>
      <c r="G42">
        <v>2</v>
      </c>
      <c r="H42">
        <v>11.5</v>
      </c>
      <c r="I42" t="e">
        <v>#NAME?</v>
      </c>
      <c r="J42">
        <v>7</v>
      </c>
      <c r="K42" t="e">
        <v>#NAME?</v>
      </c>
      <c r="L42">
        <v>8</v>
      </c>
      <c r="M42">
        <v>6</v>
      </c>
      <c r="N42">
        <v>-2</v>
      </c>
      <c r="O42">
        <v>0.81930416822433472</v>
      </c>
      <c r="P42">
        <v>0.9739130434782608</v>
      </c>
      <c r="Q42">
        <v>0.63888888888888884</v>
      </c>
      <c r="R42">
        <v>0.1</v>
      </c>
      <c r="S42">
        <f t="shared" si="0"/>
        <v>18.843995869159698</v>
      </c>
      <c r="T42">
        <f t="shared" si="1"/>
        <v>22.4</v>
      </c>
      <c r="U42">
        <f t="shared" si="2"/>
        <v>10800</v>
      </c>
    </row>
    <row r="43" spans="2:21" x14ac:dyDescent="0.25">
      <c r="B43" t="s">
        <v>1</v>
      </c>
      <c r="C43" t="s">
        <v>4</v>
      </c>
      <c r="D43" s="1">
        <v>0.39583333333333331</v>
      </c>
      <c r="E43">
        <v>20</v>
      </c>
      <c r="F43">
        <v>900</v>
      </c>
      <c r="G43">
        <v>2</v>
      </c>
      <c r="H43">
        <v>10</v>
      </c>
      <c r="I43" t="e">
        <v>#NAME?</v>
      </c>
      <c r="J43">
        <v>6</v>
      </c>
      <c r="K43" t="e">
        <v>#NAME?</v>
      </c>
      <c r="L43">
        <v>7</v>
      </c>
      <c r="M43">
        <v>5.5</v>
      </c>
      <c r="N43">
        <v>-1.5</v>
      </c>
      <c r="O43">
        <v>0.75121611356735229</v>
      </c>
      <c r="P43">
        <v>0.97999999999999976</v>
      </c>
      <c r="Q43">
        <v>0.60606060606060608</v>
      </c>
      <c r="R43">
        <v>0.1</v>
      </c>
      <c r="S43">
        <f t="shared" si="0"/>
        <v>15.024322271347046</v>
      </c>
      <c r="T43">
        <f t="shared" si="1"/>
        <v>19.599999999999994</v>
      </c>
      <c r="U43">
        <f t="shared" si="2"/>
        <v>9900</v>
      </c>
    </row>
    <row r="44" spans="2:21" x14ac:dyDescent="0.25">
      <c r="B44" t="s">
        <v>1</v>
      </c>
      <c r="C44" t="s">
        <v>4</v>
      </c>
      <c r="D44" s="1">
        <v>0.41666666666666669</v>
      </c>
      <c r="E44">
        <v>17</v>
      </c>
      <c r="F44">
        <v>900</v>
      </c>
      <c r="G44">
        <v>2</v>
      </c>
      <c r="H44">
        <v>8.5</v>
      </c>
      <c r="I44" t="e">
        <v>#NAME?</v>
      </c>
      <c r="J44">
        <v>5</v>
      </c>
      <c r="K44" t="e">
        <v>#NAME?</v>
      </c>
      <c r="L44">
        <v>6</v>
      </c>
      <c r="M44">
        <v>5</v>
      </c>
      <c r="N44">
        <v>-1</v>
      </c>
      <c r="O44">
        <v>0.82226908206939697</v>
      </c>
      <c r="P44">
        <v>0.98823529411764688</v>
      </c>
      <c r="Q44">
        <v>0.56666666666666665</v>
      </c>
      <c r="R44">
        <v>0.1</v>
      </c>
      <c r="S44">
        <f t="shared" si="0"/>
        <v>13.978574395179749</v>
      </c>
      <c r="T44">
        <f t="shared" si="1"/>
        <v>16.799999999999997</v>
      </c>
      <c r="U44">
        <f t="shared" si="2"/>
        <v>9000</v>
      </c>
    </row>
    <row r="45" spans="2:21" x14ac:dyDescent="0.25">
      <c r="B45" t="s">
        <v>1</v>
      </c>
      <c r="C45" t="s">
        <v>4</v>
      </c>
      <c r="D45" s="1">
        <v>0.4375</v>
      </c>
      <c r="E45">
        <v>20</v>
      </c>
      <c r="F45">
        <v>900</v>
      </c>
      <c r="G45">
        <v>2</v>
      </c>
      <c r="H45">
        <v>10</v>
      </c>
      <c r="I45" t="e">
        <v>#NAME?</v>
      </c>
      <c r="J45">
        <v>6</v>
      </c>
      <c r="K45" t="e">
        <v>#NAME?</v>
      </c>
      <c r="L45">
        <v>7</v>
      </c>
      <c r="M45">
        <v>6.5</v>
      </c>
      <c r="N45">
        <v>-0.5</v>
      </c>
      <c r="O45">
        <v>0.89255768060684204</v>
      </c>
      <c r="P45">
        <v>0.97999999999999976</v>
      </c>
      <c r="Q45">
        <v>0.51282051282051277</v>
      </c>
      <c r="R45">
        <v>0.1</v>
      </c>
      <c r="S45">
        <f t="shared" si="0"/>
        <v>17.851153612136841</v>
      </c>
      <c r="T45">
        <f t="shared" si="1"/>
        <v>19.599999999999994</v>
      </c>
      <c r="U45">
        <f t="shared" si="2"/>
        <v>11700</v>
      </c>
    </row>
    <row r="46" spans="2:21" x14ac:dyDescent="0.25">
      <c r="B46" t="s">
        <v>1</v>
      </c>
      <c r="C46" t="s">
        <v>4</v>
      </c>
      <c r="D46" s="1">
        <v>0.45833333333333331</v>
      </c>
      <c r="E46">
        <v>22</v>
      </c>
      <c r="F46">
        <v>900</v>
      </c>
      <c r="G46">
        <v>2</v>
      </c>
      <c r="H46">
        <v>11</v>
      </c>
      <c r="I46" t="e">
        <v>#NAME?</v>
      </c>
      <c r="J46">
        <v>6</v>
      </c>
      <c r="K46" t="e">
        <v>#NAME?</v>
      </c>
      <c r="L46">
        <v>7</v>
      </c>
      <c r="M46">
        <v>8</v>
      </c>
      <c r="N46">
        <v>1</v>
      </c>
      <c r="O46">
        <v>0.97793233394622803</v>
      </c>
      <c r="P46">
        <v>0.89090909090909065</v>
      </c>
      <c r="Q46">
        <v>0.45833333333333331</v>
      </c>
      <c r="R46">
        <v>0.1</v>
      </c>
      <c r="S46">
        <f t="shared" si="0"/>
        <v>21.514511346817017</v>
      </c>
      <c r="T46">
        <f t="shared" si="1"/>
        <v>19.599999999999994</v>
      </c>
      <c r="U46">
        <f t="shared" si="2"/>
        <v>14400</v>
      </c>
    </row>
    <row r="47" spans="2:21" x14ac:dyDescent="0.25">
      <c r="B47" t="s">
        <v>1</v>
      </c>
      <c r="C47" t="s">
        <v>4</v>
      </c>
      <c r="D47" s="1">
        <v>0.47916666666666669</v>
      </c>
      <c r="E47">
        <v>16</v>
      </c>
      <c r="F47">
        <v>900</v>
      </c>
      <c r="G47">
        <v>2</v>
      </c>
      <c r="H47">
        <v>8</v>
      </c>
      <c r="I47" t="e">
        <v>#NAME?</v>
      </c>
      <c r="J47">
        <v>5</v>
      </c>
      <c r="K47" t="e">
        <v>#NAME?</v>
      </c>
      <c r="L47">
        <v>6</v>
      </c>
      <c r="M47">
        <v>7.5</v>
      </c>
      <c r="N47">
        <v>1.5</v>
      </c>
      <c r="O47">
        <v>0.98462569713592529</v>
      </c>
      <c r="P47">
        <v>1</v>
      </c>
      <c r="Q47">
        <v>0.35555555555555557</v>
      </c>
      <c r="R47">
        <v>0.1</v>
      </c>
      <c r="S47">
        <f t="shared" si="0"/>
        <v>15.754011154174805</v>
      </c>
      <c r="T47">
        <f t="shared" si="1"/>
        <v>16</v>
      </c>
      <c r="U47">
        <f t="shared" si="2"/>
        <v>13500</v>
      </c>
    </row>
    <row r="48" spans="2:21" x14ac:dyDescent="0.25">
      <c r="B48" t="s">
        <v>1</v>
      </c>
      <c r="C48" t="s">
        <v>4</v>
      </c>
      <c r="D48" s="1">
        <v>0.5</v>
      </c>
      <c r="E48">
        <v>13</v>
      </c>
      <c r="F48">
        <v>900</v>
      </c>
      <c r="G48">
        <v>2</v>
      </c>
      <c r="H48">
        <v>6.5</v>
      </c>
      <c r="I48" t="e">
        <v>#NAME?</v>
      </c>
      <c r="J48">
        <v>5</v>
      </c>
      <c r="K48" t="e">
        <v>#NAME?</v>
      </c>
      <c r="L48">
        <v>6</v>
      </c>
      <c r="M48">
        <v>6.5</v>
      </c>
      <c r="N48">
        <v>0.5</v>
      </c>
      <c r="O48">
        <v>0.97657793760299683</v>
      </c>
      <c r="P48">
        <v>1</v>
      </c>
      <c r="Q48">
        <v>0.33333333333333331</v>
      </c>
      <c r="R48">
        <v>0.1</v>
      </c>
      <c r="S48">
        <f t="shared" si="0"/>
        <v>12.695513188838959</v>
      </c>
      <c r="T48">
        <f t="shared" si="1"/>
        <v>13</v>
      </c>
      <c r="U48">
        <f t="shared" si="2"/>
        <v>11700</v>
      </c>
    </row>
    <row r="49" spans="2:21" x14ac:dyDescent="0.25">
      <c r="B49" t="s">
        <v>1</v>
      </c>
      <c r="C49" t="s">
        <v>4</v>
      </c>
      <c r="D49" s="1">
        <v>0.52083333333333337</v>
      </c>
      <c r="E49">
        <v>8</v>
      </c>
      <c r="F49">
        <v>900</v>
      </c>
      <c r="G49">
        <v>2</v>
      </c>
      <c r="H49">
        <v>4</v>
      </c>
      <c r="I49" t="e">
        <v>#NAME?</v>
      </c>
      <c r="J49">
        <v>3</v>
      </c>
      <c r="K49" t="e">
        <v>#NAME?</v>
      </c>
      <c r="L49">
        <v>4</v>
      </c>
      <c r="M49">
        <v>4.5</v>
      </c>
      <c r="N49">
        <v>0.5</v>
      </c>
      <c r="O49">
        <v>0.98100578784942627</v>
      </c>
      <c r="P49">
        <v>1</v>
      </c>
      <c r="Q49">
        <v>0.29629629629629628</v>
      </c>
      <c r="R49">
        <v>0.1</v>
      </c>
      <c r="S49">
        <f t="shared" si="0"/>
        <v>7.8480463027954102</v>
      </c>
      <c r="T49">
        <f t="shared" si="1"/>
        <v>8</v>
      </c>
      <c r="U49">
        <f t="shared" si="2"/>
        <v>8100</v>
      </c>
    </row>
    <row r="50" spans="2:21" x14ac:dyDescent="0.25">
      <c r="B50" t="s">
        <v>1</v>
      </c>
      <c r="C50" t="s">
        <v>4</v>
      </c>
      <c r="D50" s="1">
        <v>0.54166666666666663</v>
      </c>
      <c r="E50">
        <v>10</v>
      </c>
      <c r="F50">
        <v>900</v>
      </c>
      <c r="G50">
        <v>2</v>
      </c>
      <c r="H50">
        <v>5</v>
      </c>
      <c r="I50" t="e">
        <v>#NAME?</v>
      </c>
      <c r="J50">
        <v>4</v>
      </c>
      <c r="K50" t="e">
        <v>#NAME?</v>
      </c>
      <c r="L50">
        <v>5</v>
      </c>
      <c r="M50">
        <v>4</v>
      </c>
      <c r="N50">
        <v>-1</v>
      </c>
      <c r="O50">
        <v>0.86591851711273193</v>
      </c>
      <c r="P50">
        <v>1</v>
      </c>
      <c r="Q50">
        <v>0.41666666666666669</v>
      </c>
      <c r="R50">
        <v>0.1</v>
      </c>
      <c r="S50">
        <f t="shared" si="0"/>
        <v>8.6591851711273193</v>
      </c>
      <c r="T50">
        <f t="shared" si="1"/>
        <v>10</v>
      </c>
      <c r="U50">
        <f t="shared" si="2"/>
        <v>7200</v>
      </c>
    </row>
    <row r="51" spans="2:21" x14ac:dyDescent="0.25">
      <c r="B51" t="s">
        <v>1</v>
      </c>
      <c r="C51" t="s">
        <v>4</v>
      </c>
      <c r="D51" s="1">
        <v>0.5625</v>
      </c>
      <c r="E51">
        <v>10</v>
      </c>
      <c r="F51">
        <v>900</v>
      </c>
      <c r="G51">
        <v>2</v>
      </c>
      <c r="H51">
        <v>5</v>
      </c>
      <c r="I51" t="e">
        <v>#NAME?</v>
      </c>
      <c r="J51">
        <v>4</v>
      </c>
      <c r="K51" t="e">
        <v>#NAME?</v>
      </c>
      <c r="L51">
        <v>5</v>
      </c>
      <c r="M51">
        <v>5</v>
      </c>
      <c r="N51">
        <v>0</v>
      </c>
      <c r="O51">
        <v>0.962535560131073</v>
      </c>
      <c r="P51">
        <v>1</v>
      </c>
      <c r="Q51">
        <v>0.33333333333333331</v>
      </c>
      <c r="R51">
        <v>0.1</v>
      </c>
      <c r="S51">
        <f t="shared" si="0"/>
        <v>9.62535560131073</v>
      </c>
      <c r="T51">
        <f t="shared" si="1"/>
        <v>10</v>
      </c>
      <c r="U51">
        <f t="shared" si="2"/>
        <v>9000</v>
      </c>
    </row>
    <row r="52" spans="2:21" x14ac:dyDescent="0.25">
      <c r="B52" t="s">
        <v>1</v>
      </c>
      <c r="C52" t="s">
        <v>4</v>
      </c>
      <c r="D52" s="1">
        <v>0.58333333333333337</v>
      </c>
      <c r="E52">
        <v>25</v>
      </c>
      <c r="F52">
        <v>900</v>
      </c>
      <c r="G52">
        <v>2</v>
      </c>
      <c r="H52">
        <v>12.5</v>
      </c>
      <c r="I52" t="e">
        <v>#NAME?</v>
      </c>
      <c r="J52">
        <v>7</v>
      </c>
      <c r="K52" t="e">
        <v>#NAME?</v>
      </c>
      <c r="L52">
        <v>8</v>
      </c>
      <c r="M52">
        <v>6</v>
      </c>
      <c r="N52">
        <v>-2</v>
      </c>
      <c r="O52">
        <v>0.76612180471420288</v>
      </c>
      <c r="P52">
        <v>0.89599999999999991</v>
      </c>
      <c r="Q52">
        <v>0.69444444444444442</v>
      </c>
      <c r="R52">
        <v>0.1</v>
      </c>
      <c r="S52">
        <f t="shared" si="0"/>
        <v>19.153045117855072</v>
      </c>
      <c r="T52">
        <f t="shared" si="1"/>
        <v>22.4</v>
      </c>
      <c r="U52">
        <f t="shared" si="2"/>
        <v>10800</v>
      </c>
    </row>
    <row r="53" spans="2:21" x14ac:dyDescent="0.25">
      <c r="B53" t="s">
        <v>1</v>
      </c>
      <c r="C53" t="s">
        <v>4</v>
      </c>
      <c r="D53" s="1">
        <v>0.60416666666666663</v>
      </c>
      <c r="E53">
        <v>20</v>
      </c>
      <c r="F53">
        <v>900</v>
      </c>
      <c r="G53">
        <v>2</v>
      </c>
      <c r="H53">
        <v>10</v>
      </c>
      <c r="I53" t="e">
        <v>#NAME?</v>
      </c>
      <c r="J53">
        <v>6</v>
      </c>
      <c r="K53" t="e">
        <v>#NAME?</v>
      </c>
      <c r="L53">
        <v>7</v>
      </c>
      <c r="M53">
        <v>7</v>
      </c>
      <c r="N53">
        <v>0</v>
      </c>
      <c r="O53">
        <v>0.95776551961898804</v>
      </c>
      <c r="P53">
        <v>0.97999999999999976</v>
      </c>
      <c r="Q53">
        <v>0.47619047619047616</v>
      </c>
      <c r="R53">
        <v>0.1</v>
      </c>
      <c r="S53">
        <f t="shared" si="0"/>
        <v>19.155310392379761</v>
      </c>
      <c r="T53">
        <f t="shared" si="1"/>
        <v>19.599999999999994</v>
      </c>
      <c r="U53">
        <f t="shared" si="2"/>
        <v>12600</v>
      </c>
    </row>
    <row r="54" spans="2:21" x14ac:dyDescent="0.25">
      <c r="B54" t="s">
        <v>1</v>
      </c>
      <c r="C54" t="s">
        <v>4</v>
      </c>
      <c r="D54" s="1">
        <v>0.625</v>
      </c>
      <c r="E54">
        <v>18</v>
      </c>
      <c r="F54">
        <v>900</v>
      </c>
      <c r="G54">
        <v>2</v>
      </c>
      <c r="H54">
        <v>9</v>
      </c>
      <c r="I54" t="e">
        <v>#NAME?</v>
      </c>
      <c r="J54">
        <v>6</v>
      </c>
      <c r="K54" t="e">
        <v>#NAME?</v>
      </c>
      <c r="L54">
        <v>7</v>
      </c>
      <c r="M54">
        <v>6.5</v>
      </c>
      <c r="N54">
        <v>-0.5</v>
      </c>
      <c r="O54">
        <v>0.92434817552566528</v>
      </c>
      <c r="P54">
        <v>1</v>
      </c>
      <c r="Q54">
        <v>0.46153846153846156</v>
      </c>
      <c r="R54">
        <v>0.1</v>
      </c>
      <c r="S54">
        <f t="shared" si="0"/>
        <v>16.638267159461975</v>
      </c>
      <c r="T54">
        <f t="shared" si="1"/>
        <v>18</v>
      </c>
      <c r="U54">
        <f t="shared" si="2"/>
        <v>11700</v>
      </c>
    </row>
    <row r="55" spans="2:21" x14ac:dyDescent="0.25">
      <c r="B55" t="s">
        <v>1</v>
      </c>
      <c r="C55" t="s">
        <v>4</v>
      </c>
      <c r="D55" s="1">
        <v>0.64583333333333337</v>
      </c>
      <c r="E55">
        <v>20</v>
      </c>
      <c r="F55">
        <v>900</v>
      </c>
      <c r="G55">
        <v>2</v>
      </c>
      <c r="H55">
        <v>10</v>
      </c>
      <c r="I55" t="e">
        <v>#NAME?</v>
      </c>
      <c r="J55">
        <v>6</v>
      </c>
      <c r="K55" t="e">
        <v>#NAME?</v>
      </c>
      <c r="L55">
        <v>7</v>
      </c>
      <c r="M55">
        <v>7</v>
      </c>
      <c r="N55">
        <v>0</v>
      </c>
      <c r="O55">
        <v>0.95776551961898804</v>
      </c>
      <c r="P55">
        <v>0.97999999999999976</v>
      </c>
      <c r="Q55">
        <v>0.47619047619047616</v>
      </c>
      <c r="R55">
        <v>0.1</v>
      </c>
      <c r="S55">
        <f t="shared" si="0"/>
        <v>19.155310392379761</v>
      </c>
      <c r="T55">
        <f t="shared" si="1"/>
        <v>19.599999999999994</v>
      </c>
      <c r="U55">
        <f t="shared" si="2"/>
        <v>12600</v>
      </c>
    </row>
    <row r="56" spans="2:21" x14ac:dyDescent="0.25">
      <c r="B56" t="s">
        <v>1</v>
      </c>
      <c r="C56" t="s">
        <v>4</v>
      </c>
      <c r="D56" s="1">
        <v>0.66666666666666663</v>
      </c>
      <c r="E56">
        <v>22</v>
      </c>
      <c r="F56">
        <v>900</v>
      </c>
      <c r="G56">
        <v>2</v>
      </c>
      <c r="H56">
        <v>11</v>
      </c>
      <c r="I56" t="e">
        <v>#NAME?</v>
      </c>
      <c r="J56">
        <v>6</v>
      </c>
      <c r="K56" t="e">
        <v>#NAME?</v>
      </c>
      <c r="L56">
        <v>7</v>
      </c>
      <c r="M56">
        <v>6.5</v>
      </c>
      <c r="N56">
        <v>-0.5</v>
      </c>
      <c r="O56">
        <v>0.85437744855880737</v>
      </c>
      <c r="P56">
        <v>0.89090909090909065</v>
      </c>
      <c r="Q56">
        <v>0.5641025641025641</v>
      </c>
      <c r="R56">
        <v>0.1</v>
      </c>
      <c r="S56">
        <f t="shared" si="0"/>
        <v>18.796303868293762</v>
      </c>
      <c r="T56">
        <f t="shared" si="1"/>
        <v>19.599999999999994</v>
      </c>
      <c r="U56">
        <f t="shared" si="2"/>
        <v>11700</v>
      </c>
    </row>
    <row r="57" spans="2:21" x14ac:dyDescent="0.25">
      <c r="B57" t="s">
        <v>1</v>
      </c>
      <c r="C57" t="s">
        <v>4</v>
      </c>
      <c r="D57" s="1">
        <v>0.6875</v>
      </c>
      <c r="E57">
        <v>22</v>
      </c>
      <c r="F57">
        <v>900</v>
      </c>
      <c r="G57">
        <v>2</v>
      </c>
      <c r="H57">
        <v>11</v>
      </c>
      <c r="I57" t="e">
        <v>#NAME?</v>
      </c>
      <c r="J57">
        <v>6</v>
      </c>
      <c r="K57" t="e">
        <v>#NAME?</v>
      </c>
      <c r="L57">
        <v>7</v>
      </c>
      <c r="M57">
        <v>6.5</v>
      </c>
      <c r="N57">
        <v>-0.5</v>
      </c>
      <c r="O57">
        <v>0.85437744855880737</v>
      </c>
      <c r="P57">
        <v>0.89090909090909065</v>
      </c>
      <c r="Q57">
        <v>0.5641025641025641</v>
      </c>
      <c r="R57">
        <v>0.1</v>
      </c>
      <c r="S57">
        <f t="shared" si="0"/>
        <v>18.796303868293762</v>
      </c>
      <c r="T57">
        <f t="shared" si="1"/>
        <v>19.599999999999994</v>
      </c>
      <c r="U57">
        <f t="shared" si="2"/>
        <v>11700</v>
      </c>
    </row>
    <row r="58" spans="2:21" x14ac:dyDescent="0.25">
      <c r="B58" t="s">
        <v>1</v>
      </c>
      <c r="C58" t="s">
        <v>4</v>
      </c>
      <c r="D58" s="1">
        <v>0.70833333333333337</v>
      </c>
      <c r="E58">
        <v>18</v>
      </c>
      <c r="F58">
        <v>900</v>
      </c>
      <c r="G58">
        <v>2</v>
      </c>
      <c r="H58">
        <v>9</v>
      </c>
      <c r="I58" t="e">
        <v>#NAME?</v>
      </c>
      <c r="J58">
        <v>6</v>
      </c>
      <c r="K58" t="e">
        <v>#NAME?</v>
      </c>
      <c r="L58">
        <v>7</v>
      </c>
      <c r="M58">
        <v>5</v>
      </c>
      <c r="N58">
        <v>-2</v>
      </c>
      <c r="O58">
        <v>0.79302173852920532</v>
      </c>
      <c r="P58">
        <v>1</v>
      </c>
      <c r="Q58">
        <v>0.6</v>
      </c>
      <c r="R58">
        <v>0.1</v>
      </c>
      <c r="S58">
        <f t="shared" si="0"/>
        <v>14.274391293525696</v>
      </c>
      <c r="T58">
        <f t="shared" si="1"/>
        <v>18</v>
      </c>
      <c r="U58">
        <f t="shared" si="2"/>
        <v>9000</v>
      </c>
    </row>
    <row r="59" spans="2:21" x14ac:dyDescent="0.25">
      <c r="B59" t="s">
        <v>1</v>
      </c>
      <c r="C59" t="s">
        <v>4</v>
      </c>
      <c r="D59" s="1">
        <v>0.72916666666666663</v>
      </c>
      <c r="E59">
        <v>16</v>
      </c>
      <c r="F59">
        <v>900</v>
      </c>
      <c r="G59">
        <v>2</v>
      </c>
      <c r="H59">
        <v>8</v>
      </c>
      <c r="I59" t="e">
        <v>#NAME?</v>
      </c>
      <c r="J59">
        <v>5</v>
      </c>
      <c r="K59" t="e">
        <v>#NAME?</v>
      </c>
      <c r="L59">
        <v>6</v>
      </c>
      <c r="M59">
        <v>4.5</v>
      </c>
      <c r="N59">
        <v>-1.5</v>
      </c>
      <c r="O59">
        <v>0.83550947904586792</v>
      </c>
      <c r="P59">
        <v>1</v>
      </c>
      <c r="Q59">
        <v>0.59259259259259256</v>
      </c>
      <c r="R59">
        <v>0.1</v>
      </c>
      <c r="S59">
        <f t="shared" si="0"/>
        <v>13.368151664733887</v>
      </c>
      <c r="T59">
        <f t="shared" si="1"/>
        <v>16</v>
      </c>
      <c r="U59">
        <f t="shared" si="2"/>
        <v>8100</v>
      </c>
    </row>
    <row r="60" spans="2:21" x14ac:dyDescent="0.25">
      <c r="B60" t="s">
        <v>1</v>
      </c>
      <c r="C60" t="s">
        <v>4</v>
      </c>
      <c r="D60" s="1">
        <v>0.75</v>
      </c>
      <c r="E60">
        <v>10</v>
      </c>
      <c r="F60">
        <v>900</v>
      </c>
      <c r="G60">
        <v>2</v>
      </c>
      <c r="H60">
        <v>5</v>
      </c>
      <c r="I60" t="e">
        <v>#NAME?</v>
      </c>
      <c r="J60">
        <v>4</v>
      </c>
      <c r="K60" t="e">
        <v>#NAME?</v>
      </c>
      <c r="L60">
        <v>5</v>
      </c>
      <c r="M60">
        <v>3.5</v>
      </c>
      <c r="N60">
        <v>-1.5</v>
      </c>
      <c r="O60">
        <v>0.85511690378189087</v>
      </c>
      <c r="P60">
        <v>1</v>
      </c>
      <c r="Q60">
        <v>0.47619047619047616</v>
      </c>
      <c r="R60">
        <v>0.1</v>
      </c>
      <c r="S60">
        <f t="shared" si="0"/>
        <v>8.5511690378189087</v>
      </c>
      <c r="T60">
        <f t="shared" si="1"/>
        <v>10</v>
      </c>
      <c r="U60">
        <f t="shared" si="2"/>
        <v>6300</v>
      </c>
    </row>
    <row r="61" spans="2:21" x14ac:dyDescent="0.25">
      <c r="B61" t="s">
        <v>1</v>
      </c>
      <c r="C61" t="s">
        <v>4</v>
      </c>
      <c r="D61" s="1">
        <v>0.77083333333333337</v>
      </c>
      <c r="E61">
        <v>6</v>
      </c>
      <c r="F61">
        <v>900</v>
      </c>
      <c r="G61">
        <v>2</v>
      </c>
      <c r="H61">
        <v>3</v>
      </c>
      <c r="I61" t="e">
        <v>#NAME?</v>
      </c>
      <c r="J61">
        <v>3</v>
      </c>
      <c r="K61" t="e">
        <v>#NAME?</v>
      </c>
      <c r="L61">
        <v>4</v>
      </c>
      <c r="M61">
        <v>3.5</v>
      </c>
      <c r="N61">
        <v>-0.5</v>
      </c>
      <c r="O61">
        <v>0.95879876613616943</v>
      </c>
      <c r="P61">
        <v>1</v>
      </c>
      <c r="Q61">
        <v>0.2857142857142857</v>
      </c>
      <c r="R61">
        <v>0.1</v>
      </c>
      <c r="S61">
        <f t="shared" si="0"/>
        <v>5.7527925968170166</v>
      </c>
      <c r="T61">
        <f t="shared" si="1"/>
        <v>6</v>
      </c>
      <c r="U61">
        <f t="shared" si="2"/>
        <v>6300</v>
      </c>
    </row>
    <row r="62" spans="2:21" x14ac:dyDescent="0.25">
      <c r="B62" t="s">
        <v>1</v>
      </c>
      <c r="C62" t="s">
        <v>4</v>
      </c>
      <c r="D62" s="1">
        <v>0.79166666666666663</v>
      </c>
      <c r="E62">
        <v>5</v>
      </c>
      <c r="F62">
        <v>900</v>
      </c>
      <c r="G62">
        <v>2</v>
      </c>
      <c r="H62">
        <v>2.5</v>
      </c>
      <c r="I62" t="e">
        <v>#NAME?</v>
      </c>
      <c r="J62">
        <v>3</v>
      </c>
      <c r="K62" t="e">
        <v>#NAME?</v>
      </c>
      <c r="L62">
        <v>4</v>
      </c>
      <c r="M62">
        <v>3</v>
      </c>
      <c r="N62">
        <v>-1</v>
      </c>
      <c r="O62">
        <v>0.87085115909576416</v>
      </c>
      <c r="P62">
        <v>1</v>
      </c>
      <c r="Q62">
        <v>0.27777777777777779</v>
      </c>
      <c r="R62">
        <v>0.1</v>
      </c>
      <c r="S62">
        <f t="shared" si="0"/>
        <v>4.3542557954788208</v>
      </c>
      <c r="T62">
        <f t="shared" si="1"/>
        <v>5</v>
      </c>
      <c r="U62">
        <f t="shared" si="2"/>
        <v>5400</v>
      </c>
    </row>
    <row r="63" spans="2:21" x14ac:dyDescent="0.25">
      <c r="B63" t="s">
        <v>1</v>
      </c>
      <c r="C63" t="s">
        <v>4</v>
      </c>
      <c r="D63" s="1">
        <v>0.8125</v>
      </c>
      <c r="E63">
        <v>1</v>
      </c>
      <c r="F63">
        <v>900</v>
      </c>
      <c r="G63">
        <v>2</v>
      </c>
      <c r="H63">
        <v>0.5</v>
      </c>
      <c r="I63" t="e">
        <v>#NAME?</v>
      </c>
      <c r="J63">
        <v>1</v>
      </c>
      <c r="K63" t="e">
        <v>#NAME?</v>
      </c>
      <c r="L63">
        <v>2</v>
      </c>
      <c r="M63">
        <v>3</v>
      </c>
      <c r="N63">
        <v>1</v>
      </c>
      <c r="O63">
        <v>0.99317312240600586</v>
      </c>
      <c r="P63">
        <v>1</v>
      </c>
      <c r="Q63">
        <v>5.5555555555555552E-2</v>
      </c>
      <c r="R63">
        <v>0.1</v>
      </c>
      <c r="S63">
        <f t="shared" si="0"/>
        <v>0.99317312240600586</v>
      </c>
      <c r="T63">
        <f t="shared" si="1"/>
        <v>1</v>
      </c>
      <c r="U63">
        <f t="shared" si="2"/>
        <v>5400</v>
      </c>
    </row>
    <row r="64" spans="2:21" x14ac:dyDescent="0.25">
      <c r="B64" t="s">
        <v>1</v>
      </c>
      <c r="C64" t="s">
        <v>4</v>
      </c>
      <c r="D64" s="1">
        <v>0.83333333333333337</v>
      </c>
      <c r="E64">
        <v>1</v>
      </c>
      <c r="F64">
        <v>900</v>
      </c>
      <c r="G64">
        <v>2</v>
      </c>
      <c r="H64">
        <v>0.5</v>
      </c>
      <c r="I64" t="e">
        <v>#NAME?</v>
      </c>
      <c r="J64">
        <v>1</v>
      </c>
      <c r="K64" t="e">
        <v>#NAME?</v>
      </c>
      <c r="L64">
        <v>2</v>
      </c>
      <c r="M64">
        <v>2</v>
      </c>
      <c r="N64">
        <v>0</v>
      </c>
      <c r="O64">
        <v>0.88590580224990845</v>
      </c>
      <c r="P64">
        <v>1</v>
      </c>
      <c r="Q64">
        <v>8.3333333333333329E-2</v>
      </c>
      <c r="R64">
        <v>0.1</v>
      </c>
      <c r="S64">
        <f t="shared" si="0"/>
        <v>0.88590580224990845</v>
      </c>
      <c r="T64">
        <f t="shared" si="1"/>
        <v>1</v>
      </c>
      <c r="U64">
        <f t="shared" si="2"/>
        <v>3600</v>
      </c>
    </row>
    <row r="65" spans="2:21" x14ac:dyDescent="0.25">
      <c r="B65" t="s">
        <v>1</v>
      </c>
      <c r="C65" t="s">
        <v>4</v>
      </c>
      <c r="D65" s="1">
        <v>0.85416666666666663</v>
      </c>
      <c r="E65">
        <v>1</v>
      </c>
      <c r="F65">
        <v>900</v>
      </c>
      <c r="G65">
        <v>2</v>
      </c>
      <c r="H65">
        <v>0.5</v>
      </c>
      <c r="I65" t="e">
        <v>#NAME?</v>
      </c>
      <c r="J65">
        <v>1</v>
      </c>
      <c r="K65" t="e">
        <v>#NAME?</v>
      </c>
      <c r="L65">
        <v>2</v>
      </c>
      <c r="M65">
        <v>2</v>
      </c>
      <c r="N65">
        <v>0</v>
      </c>
      <c r="O65">
        <v>0.88590580224990845</v>
      </c>
      <c r="P65">
        <v>1</v>
      </c>
      <c r="Q65">
        <v>8.3333333333333329E-2</v>
      </c>
      <c r="R65">
        <v>0.1</v>
      </c>
      <c r="S65">
        <f t="shared" si="0"/>
        <v>0.88590580224990845</v>
      </c>
      <c r="T65">
        <f t="shared" si="1"/>
        <v>1</v>
      </c>
      <c r="U65">
        <f t="shared" si="2"/>
        <v>3600</v>
      </c>
    </row>
    <row r="66" spans="2:21" x14ac:dyDescent="0.25">
      <c r="B66" t="s">
        <v>1</v>
      </c>
      <c r="C66" t="s">
        <v>4</v>
      </c>
      <c r="D66" s="1">
        <v>0.875</v>
      </c>
      <c r="E66">
        <v>2</v>
      </c>
      <c r="F66">
        <v>900</v>
      </c>
      <c r="G66">
        <v>2</v>
      </c>
      <c r="H66">
        <v>1</v>
      </c>
      <c r="I66" t="e">
        <v>#NAME?</v>
      </c>
      <c r="J66">
        <v>2</v>
      </c>
      <c r="K66" t="e">
        <v>#NAME?</v>
      </c>
      <c r="L66">
        <v>3</v>
      </c>
      <c r="M66">
        <v>2</v>
      </c>
      <c r="N66">
        <v>-1</v>
      </c>
      <c r="O66">
        <v>0.78261804580688477</v>
      </c>
      <c r="P66">
        <v>1</v>
      </c>
      <c r="Q66">
        <v>0.16666666666666666</v>
      </c>
      <c r="R66">
        <v>0.1</v>
      </c>
      <c r="S66">
        <f t="shared" si="0"/>
        <v>1.5652360916137695</v>
      </c>
      <c r="T66">
        <f t="shared" si="1"/>
        <v>2</v>
      </c>
      <c r="U66">
        <f t="shared" si="2"/>
        <v>3600</v>
      </c>
    </row>
    <row r="67" spans="2:21" x14ac:dyDescent="0.25">
      <c r="B67" t="s">
        <v>1</v>
      </c>
      <c r="C67" t="s">
        <v>4</v>
      </c>
      <c r="D67" s="1">
        <v>0.89583333333333337</v>
      </c>
      <c r="E67">
        <v>0</v>
      </c>
      <c r="F67">
        <v>0</v>
      </c>
      <c r="G67">
        <v>2</v>
      </c>
      <c r="H67">
        <v>0</v>
      </c>
      <c r="I67" t="e">
        <v>#NAME?</v>
      </c>
      <c r="J67">
        <v>1</v>
      </c>
      <c r="K67" t="e">
        <v>#NAME?</v>
      </c>
      <c r="L67">
        <v>2</v>
      </c>
      <c r="M67">
        <v>2</v>
      </c>
      <c r="N67">
        <v>0</v>
      </c>
      <c r="O67" t="s">
        <v>72</v>
      </c>
      <c r="P67" t="s">
        <v>72</v>
      </c>
      <c r="Q67">
        <v>0</v>
      </c>
      <c r="R67">
        <v>0.1</v>
      </c>
      <c r="S67" t="str">
        <f t="shared" si="0"/>
        <v/>
      </c>
      <c r="T67" t="str">
        <f t="shared" si="1"/>
        <v/>
      </c>
      <c r="U67">
        <f t="shared" si="2"/>
        <v>3600</v>
      </c>
    </row>
    <row r="68" spans="2:21" x14ac:dyDescent="0.25">
      <c r="B68" t="s">
        <v>1</v>
      </c>
      <c r="C68" t="s">
        <v>5</v>
      </c>
      <c r="D68" s="1">
        <v>0.25</v>
      </c>
      <c r="E68">
        <v>3</v>
      </c>
      <c r="F68">
        <v>900</v>
      </c>
      <c r="G68">
        <v>2</v>
      </c>
      <c r="H68">
        <v>1.5</v>
      </c>
      <c r="I68" t="e">
        <v>#NAME?</v>
      </c>
      <c r="J68">
        <v>2</v>
      </c>
      <c r="K68" t="e">
        <v>#NAME?</v>
      </c>
      <c r="L68">
        <v>3</v>
      </c>
      <c r="M68">
        <v>2</v>
      </c>
      <c r="N68">
        <v>-1</v>
      </c>
      <c r="O68">
        <v>0.68859052658081055</v>
      </c>
      <c r="P68">
        <v>1</v>
      </c>
      <c r="Q68">
        <v>0.25</v>
      </c>
      <c r="R68">
        <v>0.1</v>
      </c>
      <c r="S68">
        <f t="shared" si="0"/>
        <v>2.0657715797424316</v>
      </c>
      <c r="T68">
        <f t="shared" si="1"/>
        <v>3</v>
      </c>
      <c r="U68">
        <f t="shared" si="2"/>
        <v>3600</v>
      </c>
    </row>
    <row r="69" spans="2:21" x14ac:dyDescent="0.25">
      <c r="B69" t="s">
        <v>1</v>
      </c>
      <c r="C69" t="s">
        <v>5</v>
      </c>
      <c r="D69" s="1">
        <v>0.27083333333333331</v>
      </c>
      <c r="E69">
        <v>0</v>
      </c>
      <c r="F69">
        <v>0</v>
      </c>
      <c r="G69">
        <v>2</v>
      </c>
      <c r="H69">
        <v>0</v>
      </c>
      <c r="I69" t="e">
        <v>#NAME?</v>
      </c>
      <c r="J69">
        <v>1</v>
      </c>
      <c r="K69" t="e">
        <v>#NAME?</v>
      </c>
      <c r="L69">
        <v>2</v>
      </c>
      <c r="M69">
        <v>2</v>
      </c>
      <c r="N69">
        <v>0</v>
      </c>
      <c r="O69" t="s">
        <v>72</v>
      </c>
      <c r="P69" t="s">
        <v>72</v>
      </c>
      <c r="Q69">
        <v>0</v>
      </c>
      <c r="R69">
        <v>0.1</v>
      </c>
      <c r="S69" t="str">
        <f t="shared" ref="S69:S132" si="3">IFERROR(O69*E69,"")</f>
        <v/>
      </c>
      <c r="T69" t="str">
        <f t="shared" ref="T69:T132" si="4">IFERROR(P69*E69,"")</f>
        <v/>
      </c>
      <c r="U69">
        <f t="shared" ref="U69:U132" si="5">+M69*1800</f>
        <v>3600</v>
      </c>
    </row>
    <row r="70" spans="2:21" x14ac:dyDescent="0.25">
      <c r="B70" t="s">
        <v>1</v>
      </c>
      <c r="C70" t="s">
        <v>5</v>
      </c>
      <c r="D70" s="1">
        <v>0.29166666666666669</v>
      </c>
      <c r="E70">
        <v>4</v>
      </c>
      <c r="F70">
        <v>900</v>
      </c>
      <c r="G70">
        <v>2</v>
      </c>
      <c r="H70">
        <v>2</v>
      </c>
      <c r="I70" t="e">
        <v>#NAME?</v>
      </c>
      <c r="J70">
        <v>2</v>
      </c>
      <c r="K70" t="e">
        <v>#NAME?</v>
      </c>
      <c r="L70">
        <v>3</v>
      </c>
      <c r="M70">
        <v>2</v>
      </c>
      <c r="N70">
        <v>-1</v>
      </c>
      <c r="O70">
        <v>0.6025581955909729</v>
      </c>
      <c r="P70">
        <v>1</v>
      </c>
      <c r="Q70">
        <v>0.33333333333333331</v>
      </c>
      <c r="R70">
        <v>0.1</v>
      </c>
      <c r="S70">
        <f t="shared" si="3"/>
        <v>2.4102327823638916</v>
      </c>
      <c r="T70">
        <f t="shared" si="4"/>
        <v>4</v>
      </c>
      <c r="U70">
        <f t="shared" si="5"/>
        <v>3600</v>
      </c>
    </row>
    <row r="71" spans="2:21" x14ac:dyDescent="0.25">
      <c r="B71" t="s">
        <v>1</v>
      </c>
      <c r="C71" t="s">
        <v>5</v>
      </c>
      <c r="D71" s="1">
        <v>0.3125</v>
      </c>
      <c r="E71">
        <v>6</v>
      </c>
      <c r="F71">
        <v>900</v>
      </c>
      <c r="G71">
        <v>2</v>
      </c>
      <c r="H71">
        <v>3</v>
      </c>
      <c r="I71" t="e">
        <v>#NAME?</v>
      </c>
      <c r="J71">
        <v>3</v>
      </c>
      <c r="K71" t="e">
        <v>#NAME?</v>
      </c>
      <c r="L71">
        <v>4</v>
      </c>
      <c r="M71">
        <v>2</v>
      </c>
      <c r="N71">
        <v>-2</v>
      </c>
      <c r="O71">
        <v>0.45047307014465332</v>
      </c>
      <c r="P71">
        <v>1</v>
      </c>
      <c r="Q71">
        <v>0.5</v>
      </c>
      <c r="R71">
        <v>0.1</v>
      </c>
      <c r="S71">
        <f t="shared" si="3"/>
        <v>2.7028384208679199</v>
      </c>
      <c r="T71">
        <f t="shared" si="4"/>
        <v>6</v>
      </c>
      <c r="U71">
        <f t="shared" si="5"/>
        <v>3600</v>
      </c>
    </row>
    <row r="72" spans="2:21" x14ac:dyDescent="0.25">
      <c r="B72" t="s">
        <v>1</v>
      </c>
      <c r="C72" t="s">
        <v>5</v>
      </c>
      <c r="D72" s="1">
        <v>0.33333333333333331</v>
      </c>
      <c r="E72">
        <v>19</v>
      </c>
      <c r="F72">
        <v>900</v>
      </c>
      <c r="G72">
        <v>2</v>
      </c>
      <c r="H72">
        <v>9.5</v>
      </c>
      <c r="I72" t="e">
        <v>#NAME?</v>
      </c>
      <c r="J72">
        <v>6</v>
      </c>
      <c r="K72" t="e">
        <v>#NAME?</v>
      </c>
      <c r="L72">
        <v>7</v>
      </c>
      <c r="M72">
        <v>5</v>
      </c>
      <c r="N72">
        <v>-2</v>
      </c>
      <c r="O72">
        <v>0.76165860891342163</v>
      </c>
      <c r="P72">
        <v>1</v>
      </c>
      <c r="Q72">
        <v>0.6333333333333333</v>
      </c>
      <c r="R72">
        <v>0.1</v>
      </c>
      <c r="S72">
        <f t="shared" si="3"/>
        <v>14.471513569355011</v>
      </c>
      <c r="T72">
        <f t="shared" si="4"/>
        <v>19</v>
      </c>
      <c r="U72">
        <f t="shared" si="5"/>
        <v>9000</v>
      </c>
    </row>
    <row r="73" spans="2:21" x14ac:dyDescent="0.25">
      <c r="B73" t="s">
        <v>1</v>
      </c>
      <c r="C73" t="s">
        <v>5</v>
      </c>
      <c r="D73" s="1">
        <v>0.35416666666666669</v>
      </c>
      <c r="E73">
        <v>21</v>
      </c>
      <c r="F73">
        <v>900</v>
      </c>
      <c r="G73">
        <v>2</v>
      </c>
      <c r="H73">
        <v>10.5</v>
      </c>
      <c r="I73" t="e">
        <v>#NAME?</v>
      </c>
      <c r="J73">
        <v>6</v>
      </c>
      <c r="K73" t="e">
        <v>#NAME?</v>
      </c>
      <c r="L73">
        <v>7</v>
      </c>
      <c r="M73">
        <v>4.5</v>
      </c>
      <c r="N73">
        <v>-2.5</v>
      </c>
      <c r="O73">
        <v>0.65319806337356567</v>
      </c>
      <c r="P73">
        <v>0.93333333333333302</v>
      </c>
      <c r="Q73">
        <v>0.77777777777777779</v>
      </c>
      <c r="R73">
        <v>0.1</v>
      </c>
      <c r="S73">
        <f t="shared" si="3"/>
        <v>13.717159330844879</v>
      </c>
      <c r="T73">
        <f t="shared" si="4"/>
        <v>19.599999999999994</v>
      </c>
      <c r="U73">
        <f t="shared" si="5"/>
        <v>8100</v>
      </c>
    </row>
    <row r="74" spans="2:21" x14ac:dyDescent="0.25">
      <c r="B74" t="s">
        <v>1</v>
      </c>
      <c r="C74" t="s">
        <v>5</v>
      </c>
      <c r="D74" s="1">
        <v>0.375</v>
      </c>
      <c r="E74">
        <v>17</v>
      </c>
      <c r="F74">
        <v>900</v>
      </c>
      <c r="G74">
        <v>2</v>
      </c>
      <c r="H74">
        <v>8.5</v>
      </c>
      <c r="I74" t="e">
        <v>#NAME?</v>
      </c>
      <c r="J74">
        <v>5</v>
      </c>
      <c r="K74" t="e">
        <v>#NAME?</v>
      </c>
      <c r="L74">
        <v>6</v>
      </c>
      <c r="M74">
        <v>6</v>
      </c>
      <c r="N74">
        <v>0</v>
      </c>
      <c r="O74">
        <v>0.93430823087692261</v>
      </c>
      <c r="P74">
        <v>0.98823529411764688</v>
      </c>
      <c r="Q74">
        <v>0.47222222222222221</v>
      </c>
      <c r="R74">
        <v>0.1</v>
      </c>
      <c r="S74">
        <f t="shared" si="3"/>
        <v>15.883239924907684</v>
      </c>
      <c r="T74">
        <f t="shared" si="4"/>
        <v>16.799999999999997</v>
      </c>
      <c r="U74">
        <f t="shared" si="5"/>
        <v>10800</v>
      </c>
    </row>
    <row r="75" spans="2:21" x14ac:dyDescent="0.25">
      <c r="B75" t="s">
        <v>1</v>
      </c>
      <c r="C75" t="s">
        <v>5</v>
      </c>
      <c r="D75" s="1">
        <v>0.39583333333333331</v>
      </c>
      <c r="E75">
        <v>18</v>
      </c>
      <c r="F75">
        <v>900</v>
      </c>
      <c r="G75">
        <v>2</v>
      </c>
      <c r="H75">
        <v>9</v>
      </c>
      <c r="I75" t="e">
        <v>#NAME?</v>
      </c>
      <c r="J75">
        <v>6</v>
      </c>
      <c r="K75" t="e">
        <v>#NAME?</v>
      </c>
      <c r="L75">
        <v>7</v>
      </c>
      <c r="M75">
        <v>5.5</v>
      </c>
      <c r="N75">
        <v>-1.5</v>
      </c>
      <c r="O75">
        <v>0.80868875980377197</v>
      </c>
      <c r="P75">
        <v>1</v>
      </c>
      <c r="Q75">
        <v>0.54545454545454541</v>
      </c>
      <c r="R75">
        <v>0.1</v>
      </c>
      <c r="S75">
        <f t="shared" si="3"/>
        <v>14.556397676467896</v>
      </c>
      <c r="T75">
        <f t="shared" si="4"/>
        <v>18</v>
      </c>
      <c r="U75">
        <f t="shared" si="5"/>
        <v>9900</v>
      </c>
    </row>
    <row r="76" spans="2:21" x14ac:dyDescent="0.25">
      <c r="B76" t="s">
        <v>1</v>
      </c>
      <c r="C76" t="s">
        <v>5</v>
      </c>
      <c r="D76" s="1">
        <v>0.41666666666666669</v>
      </c>
      <c r="E76">
        <v>21</v>
      </c>
      <c r="F76">
        <v>900</v>
      </c>
      <c r="G76">
        <v>2</v>
      </c>
      <c r="H76">
        <v>10.5</v>
      </c>
      <c r="I76" t="e">
        <v>#NAME?</v>
      </c>
      <c r="J76">
        <v>6</v>
      </c>
      <c r="K76" t="e">
        <v>#NAME?</v>
      </c>
      <c r="L76">
        <v>7</v>
      </c>
      <c r="M76">
        <v>6</v>
      </c>
      <c r="N76">
        <v>-1</v>
      </c>
      <c r="O76">
        <v>0.86508065462112427</v>
      </c>
      <c r="P76">
        <v>0.93333333333333302</v>
      </c>
      <c r="Q76">
        <v>0.58333333333333337</v>
      </c>
      <c r="R76">
        <v>0.1</v>
      </c>
      <c r="S76">
        <f t="shared" si="3"/>
        <v>18.16669374704361</v>
      </c>
      <c r="T76">
        <f t="shared" si="4"/>
        <v>19.599999999999994</v>
      </c>
      <c r="U76">
        <f t="shared" si="5"/>
        <v>10800</v>
      </c>
    </row>
    <row r="77" spans="2:21" x14ac:dyDescent="0.25">
      <c r="B77" t="s">
        <v>1</v>
      </c>
      <c r="C77" t="s">
        <v>5</v>
      </c>
      <c r="D77" s="1">
        <v>0.4375</v>
      </c>
      <c r="E77">
        <v>26</v>
      </c>
      <c r="F77">
        <v>900</v>
      </c>
      <c r="G77">
        <v>2</v>
      </c>
      <c r="H77">
        <v>13</v>
      </c>
      <c r="I77" t="e">
        <v>#NAME?</v>
      </c>
      <c r="J77">
        <v>7</v>
      </c>
      <c r="K77" t="e">
        <v>#NAME?</v>
      </c>
      <c r="L77">
        <v>8</v>
      </c>
      <c r="M77">
        <v>6.5</v>
      </c>
      <c r="N77">
        <v>-1.5</v>
      </c>
      <c r="O77">
        <v>0.75966459512710571</v>
      </c>
      <c r="P77">
        <v>0.86153846153846148</v>
      </c>
      <c r="Q77">
        <v>0.66666666666666663</v>
      </c>
      <c r="R77">
        <v>0.1</v>
      </c>
      <c r="S77">
        <f t="shared" si="3"/>
        <v>19.751279473304749</v>
      </c>
      <c r="T77">
        <f t="shared" si="4"/>
        <v>22.4</v>
      </c>
      <c r="U77">
        <f t="shared" si="5"/>
        <v>11700</v>
      </c>
    </row>
    <row r="78" spans="2:21" x14ac:dyDescent="0.25">
      <c r="B78" t="s">
        <v>1</v>
      </c>
      <c r="C78" t="s">
        <v>5</v>
      </c>
      <c r="D78" s="1">
        <v>0.45833333333333331</v>
      </c>
      <c r="E78">
        <v>20</v>
      </c>
      <c r="F78">
        <v>900</v>
      </c>
      <c r="G78">
        <v>2</v>
      </c>
      <c r="H78">
        <v>10</v>
      </c>
      <c r="I78" t="e">
        <v>#NAME?</v>
      </c>
      <c r="J78">
        <v>6</v>
      </c>
      <c r="K78" t="e">
        <v>#NAME?</v>
      </c>
      <c r="L78">
        <v>7</v>
      </c>
      <c r="M78">
        <v>7</v>
      </c>
      <c r="N78">
        <v>0</v>
      </c>
      <c r="O78">
        <v>0.95776551961898804</v>
      </c>
      <c r="P78">
        <v>0.97999999999999976</v>
      </c>
      <c r="Q78">
        <v>0.47619047619047616</v>
      </c>
      <c r="R78">
        <v>0.1</v>
      </c>
      <c r="S78">
        <f t="shared" si="3"/>
        <v>19.155310392379761</v>
      </c>
      <c r="T78">
        <f t="shared" si="4"/>
        <v>19.599999999999994</v>
      </c>
      <c r="U78">
        <f t="shared" si="5"/>
        <v>12600</v>
      </c>
    </row>
    <row r="79" spans="2:21" x14ac:dyDescent="0.25">
      <c r="B79" t="s">
        <v>1</v>
      </c>
      <c r="C79" t="s">
        <v>5</v>
      </c>
      <c r="D79" s="1">
        <v>0.47916666666666669</v>
      </c>
      <c r="E79">
        <v>19</v>
      </c>
      <c r="F79">
        <v>900</v>
      </c>
      <c r="G79">
        <v>2</v>
      </c>
      <c r="H79">
        <v>9.5</v>
      </c>
      <c r="I79" t="e">
        <v>#NAME?</v>
      </c>
      <c r="J79">
        <v>6</v>
      </c>
      <c r="K79" t="e">
        <v>#NAME?</v>
      </c>
      <c r="L79">
        <v>7</v>
      </c>
      <c r="M79">
        <v>6</v>
      </c>
      <c r="N79">
        <v>-1</v>
      </c>
      <c r="O79">
        <v>0.90337985754013062</v>
      </c>
      <c r="P79">
        <v>1</v>
      </c>
      <c r="Q79">
        <v>0.52777777777777779</v>
      </c>
      <c r="R79">
        <v>0.1</v>
      </c>
      <c r="S79">
        <f t="shared" si="3"/>
        <v>17.164217293262482</v>
      </c>
      <c r="T79">
        <f t="shared" si="4"/>
        <v>19</v>
      </c>
      <c r="U79">
        <f t="shared" si="5"/>
        <v>10800</v>
      </c>
    </row>
    <row r="80" spans="2:21" x14ac:dyDescent="0.25">
      <c r="B80" t="s">
        <v>1</v>
      </c>
      <c r="C80" t="s">
        <v>5</v>
      </c>
      <c r="D80" s="1">
        <v>0.5</v>
      </c>
      <c r="E80">
        <v>11</v>
      </c>
      <c r="F80">
        <v>900</v>
      </c>
      <c r="G80">
        <v>2</v>
      </c>
      <c r="H80">
        <v>5.5</v>
      </c>
      <c r="I80" t="e">
        <v>#NAME?</v>
      </c>
      <c r="J80">
        <v>4</v>
      </c>
      <c r="K80" t="e">
        <v>#NAME?</v>
      </c>
      <c r="L80">
        <v>5</v>
      </c>
      <c r="M80">
        <v>6</v>
      </c>
      <c r="N80">
        <v>1</v>
      </c>
      <c r="O80">
        <v>0.98730307817459106</v>
      </c>
      <c r="P80">
        <v>1</v>
      </c>
      <c r="Q80">
        <v>0.30555555555555558</v>
      </c>
      <c r="R80">
        <v>0.1</v>
      </c>
      <c r="S80">
        <f t="shared" si="3"/>
        <v>10.860333859920502</v>
      </c>
      <c r="T80">
        <f t="shared" si="4"/>
        <v>11</v>
      </c>
      <c r="U80">
        <f t="shared" si="5"/>
        <v>10800</v>
      </c>
    </row>
    <row r="81" spans="2:21" x14ac:dyDescent="0.25">
      <c r="B81" t="s">
        <v>1</v>
      </c>
      <c r="C81" t="s">
        <v>5</v>
      </c>
      <c r="D81" s="1">
        <v>0.52083333333333337</v>
      </c>
      <c r="E81">
        <v>5</v>
      </c>
      <c r="F81">
        <v>900</v>
      </c>
      <c r="G81">
        <v>2</v>
      </c>
      <c r="H81">
        <v>2.5</v>
      </c>
      <c r="I81" t="e">
        <v>#NAME?</v>
      </c>
      <c r="J81">
        <v>3</v>
      </c>
      <c r="K81" t="e">
        <v>#NAME?</v>
      </c>
      <c r="L81">
        <v>4</v>
      </c>
      <c r="M81">
        <v>6</v>
      </c>
      <c r="N81">
        <v>2</v>
      </c>
      <c r="O81">
        <v>0.99956738948822021</v>
      </c>
      <c r="P81">
        <v>1</v>
      </c>
      <c r="Q81">
        <v>0.1388888888888889</v>
      </c>
      <c r="R81">
        <v>0.1</v>
      </c>
      <c r="S81">
        <f t="shared" si="3"/>
        <v>4.9978369474411011</v>
      </c>
      <c r="T81">
        <f t="shared" si="4"/>
        <v>5</v>
      </c>
      <c r="U81">
        <f t="shared" si="5"/>
        <v>10800</v>
      </c>
    </row>
    <row r="82" spans="2:21" x14ac:dyDescent="0.25">
      <c r="B82" t="s">
        <v>1</v>
      </c>
      <c r="C82" t="s">
        <v>5</v>
      </c>
      <c r="D82" s="1">
        <v>0.54166666666666663</v>
      </c>
      <c r="E82">
        <v>8</v>
      </c>
      <c r="F82">
        <v>900</v>
      </c>
      <c r="G82">
        <v>2</v>
      </c>
      <c r="H82">
        <v>4</v>
      </c>
      <c r="I82" t="e">
        <v>#NAME?</v>
      </c>
      <c r="J82">
        <v>3</v>
      </c>
      <c r="K82" t="e">
        <v>#NAME?</v>
      </c>
      <c r="L82">
        <v>4</v>
      </c>
      <c r="M82">
        <v>5</v>
      </c>
      <c r="N82">
        <v>1</v>
      </c>
      <c r="O82">
        <v>0.98177999258041382</v>
      </c>
      <c r="P82">
        <v>1</v>
      </c>
      <c r="Q82">
        <v>0.26666666666666666</v>
      </c>
      <c r="R82">
        <v>0.1</v>
      </c>
      <c r="S82">
        <f t="shared" si="3"/>
        <v>7.8542399406433105</v>
      </c>
      <c r="T82">
        <f t="shared" si="4"/>
        <v>8</v>
      </c>
      <c r="U82">
        <f t="shared" si="5"/>
        <v>9000</v>
      </c>
    </row>
    <row r="83" spans="2:21" x14ac:dyDescent="0.25">
      <c r="B83" t="s">
        <v>1</v>
      </c>
      <c r="C83" t="s">
        <v>5</v>
      </c>
      <c r="D83" s="1">
        <v>0.5625</v>
      </c>
      <c r="E83">
        <v>7</v>
      </c>
      <c r="F83">
        <v>900</v>
      </c>
      <c r="G83">
        <v>2</v>
      </c>
      <c r="H83">
        <v>3.5</v>
      </c>
      <c r="I83" t="e">
        <v>#NAME?</v>
      </c>
      <c r="J83">
        <v>3</v>
      </c>
      <c r="K83" t="e">
        <v>#NAME?</v>
      </c>
      <c r="L83">
        <v>4</v>
      </c>
      <c r="M83">
        <v>5</v>
      </c>
      <c r="N83">
        <v>1</v>
      </c>
      <c r="O83">
        <v>0.98834347724914551</v>
      </c>
      <c r="P83">
        <v>1</v>
      </c>
      <c r="Q83">
        <v>0.23333333333333334</v>
      </c>
      <c r="R83">
        <v>0.1</v>
      </c>
      <c r="S83">
        <f t="shared" si="3"/>
        <v>6.9184043407440186</v>
      </c>
      <c r="T83">
        <f t="shared" si="4"/>
        <v>7</v>
      </c>
      <c r="U83">
        <f t="shared" si="5"/>
        <v>9000</v>
      </c>
    </row>
    <row r="84" spans="2:21" x14ac:dyDescent="0.25">
      <c r="B84" t="s">
        <v>1</v>
      </c>
      <c r="C84" t="s">
        <v>5</v>
      </c>
      <c r="D84" s="1">
        <v>0.58333333333333337</v>
      </c>
      <c r="E84">
        <v>15</v>
      </c>
      <c r="F84">
        <v>900</v>
      </c>
      <c r="G84">
        <v>2</v>
      </c>
      <c r="H84">
        <v>7.5</v>
      </c>
      <c r="I84" t="e">
        <v>#NAME?</v>
      </c>
      <c r="J84">
        <v>5</v>
      </c>
      <c r="K84" t="e">
        <v>#NAME?</v>
      </c>
      <c r="L84">
        <v>6</v>
      </c>
      <c r="M84">
        <v>6</v>
      </c>
      <c r="N84">
        <v>0</v>
      </c>
      <c r="O84">
        <v>0.95818698406219482</v>
      </c>
      <c r="P84">
        <v>1</v>
      </c>
      <c r="Q84">
        <v>0.41666666666666669</v>
      </c>
      <c r="R84">
        <v>0.1</v>
      </c>
      <c r="S84">
        <f t="shared" si="3"/>
        <v>14.372804760932922</v>
      </c>
      <c r="T84">
        <f t="shared" si="4"/>
        <v>15</v>
      </c>
      <c r="U84">
        <f t="shared" si="5"/>
        <v>10800</v>
      </c>
    </row>
    <row r="85" spans="2:21" x14ac:dyDescent="0.25">
      <c r="B85" t="s">
        <v>1</v>
      </c>
      <c r="C85" t="s">
        <v>5</v>
      </c>
      <c r="D85" s="1">
        <v>0.60416666666666663</v>
      </c>
      <c r="E85">
        <v>16</v>
      </c>
      <c r="F85">
        <v>900</v>
      </c>
      <c r="G85">
        <v>2</v>
      </c>
      <c r="H85">
        <v>8</v>
      </c>
      <c r="I85" t="e">
        <v>#NAME?</v>
      </c>
      <c r="J85">
        <v>5</v>
      </c>
      <c r="K85" t="e">
        <v>#NAME?</v>
      </c>
      <c r="L85">
        <v>6</v>
      </c>
      <c r="M85">
        <v>7</v>
      </c>
      <c r="N85">
        <v>1</v>
      </c>
      <c r="O85">
        <v>0.98399811983108521</v>
      </c>
      <c r="P85">
        <v>1</v>
      </c>
      <c r="Q85">
        <v>0.38095238095238093</v>
      </c>
      <c r="R85">
        <v>0.1</v>
      </c>
      <c r="S85">
        <f t="shared" si="3"/>
        <v>15.743969917297363</v>
      </c>
      <c r="T85">
        <f t="shared" si="4"/>
        <v>16</v>
      </c>
      <c r="U85">
        <f t="shared" si="5"/>
        <v>12600</v>
      </c>
    </row>
    <row r="86" spans="2:21" x14ac:dyDescent="0.25">
      <c r="B86" t="s">
        <v>1</v>
      </c>
      <c r="C86" t="s">
        <v>5</v>
      </c>
      <c r="D86" s="1">
        <v>0.625</v>
      </c>
      <c r="E86">
        <v>19</v>
      </c>
      <c r="F86">
        <v>900</v>
      </c>
      <c r="G86">
        <v>2</v>
      </c>
      <c r="H86">
        <v>9.5</v>
      </c>
      <c r="I86" t="e">
        <v>#NAME?</v>
      </c>
      <c r="J86">
        <v>6</v>
      </c>
      <c r="K86" t="e">
        <v>#NAME?</v>
      </c>
      <c r="L86">
        <v>7</v>
      </c>
      <c r="M86">
        <v>6.5</v>
      </c>
      <c r="N86">
        <v>-0.5</v>
      </c>
      <c r="O86">
        <v>0.90925532579421997</v>
      </c>
      <c r="P86">
        <v>1</v>
      </c>
      <c r="Q86">
        <v>0.48717948717948717</v>
      </c>
      <c r="R86">
        <v>0.1</v>
      </c>
      <c r="S86">
        <f t="shared" si="3"/>
        <v>17.275851190090179</v>
      </c>
      <c r="T86">
        <f t="shared" si="4"/>
        <v>19</v>
      </c>
      <c r="U86">
        <f t="shared" si="5"/>
        <v>11700</v>
      </c>
    </row>
    <row r="87" spans="2:21" x14ac:dyDescent="0.25">
      <c r="B87" t="s">
        <v>1</v>
      </c>
      <c r="C87" t="s">
        <v>5</v>
      </c>
      <c r="D87" s="1">
        <v>0.64583333333333337</v>
      </c>
      <c r="E87">
        <v>19</v>
      </c>
      <c r="F87">
        <v>900</v>
      </c>
      <c r="G87">
        <v>2</v>
      </c>
      <c r="H87">
        <v>9.5</v>
      </c>
      <c r="I87" t="e">
        <v>#NAME?</v>
      </c>
      <c r="J87">
        <v>6</v>
      </c>
      <c r="K87" t="e">
        <v>#NAME?</v>
      </c>
      <c r="L87">
        <v>7</v>
      </c>
      <c r="M87">
        <v>6.5</v>
      </c>
      <c r="N87">
        <v>-0.5</v>
      </c>
      <c r="O87">
        <v>0.90925532579421997</v>
      </c>
      <c r="P87">
        <v>1</v>
      </c>
      <c r="Q87">
        <v>0.48717948717948717</v>
      </c>
      <c r="R87">
        <v>0.1</v>
      </c>
      <c r="S87">
        <f t="shared" si="3"/>
        <v>17.275851190090179</v>
      </c>
      <c r="T87">
        <f t="shared" si="4"/>
        <v>19</v>
      </c>
      <c r="U87">
        <f t="shared" si="5"/>
        <v>11700</v>
      </c>
    </row>
    <row r="88" spans="2:21" x14ac:dyDescent="0.25">
      <c r="B88" t="s">
        <v>1</v>
      </c>
      <c r="C88" t="s">
        <v>5</v>
      </c>
      <c r="D88" s="1">
        <v>0.66666666666666663</v>
      </c>
      <c r="E88">
        <v>21</v>
      </c>
      <c r="F88">
        <v>900</v>
      </c>
      <c r="G88">
        <v>2</v>
      </c>
      <c r="H88">
        <v>10.5</v>
      </c>
      <c r="I88" t="e">
        <v>#NAME?</v>
      </c>
      <c r="J88">
        <v>6</v>
      </c>
      <c r="K88" t="e">
        <v>#NAME?</v>
      </c>
      <c r="L88">
        <v>7</v>
      </c>
      <c r="M88">
        <v>6.5</v>
      </c>
      <c r="N88">
        <v>-0.5</v>
      </c>
      <c r="O88">
        <v>0.87425965070724487</v>
      </c>
      <c r="P88">
        <v>0.93333333333333302</v>
      </c>
      <c r="Q88">
        <v>0.53846153846153844</v>
      </c>
      <c r="R88">
        <v>0.1</v>
      </c>
      <c r="S88">
        <f t="shared" si="3"/>
        <v>18.359452664852142</v>
      </c>
      <c r="T88">
        <f t="shared" si="4"/>
        <v>19.599999999999994</v>
      </c>
      <c r="U88">
        <f t="shared" si="5"/>
        <v>11700</v>
      </c>
    </row>
    <row r="89" spans="2:21" x14ac:dyDescent="0.25">
      <c r="B89" t="s">
        <v>1</v>
      </c>
      <c r="C89" t="s">
        <v>5</v>
      </c>
      <c r="D89" s="1">
        <v>0.6875</v>
      </c>
      <c r="E89">
        <v>15</v>
      </c>
      <c r="F89">
        <v>900</v>
      </c>
      <c r="G89">
        <v>2</v>
      </c>
      <c r="H89">
        <v>7.5</v>
      </c>
      <c r="I89" t="e">
        <v>#NAME?</v>
      </c>
      <c r="J89">
        <v>5</v>
      </c>
      <c r="K89" t="e">
        <v>#NAME?</v>
      </c>
      <c r="L89">
        <v>6</v>
      </c>
      <c r="M89">
        <v>6.5</v>
      </c>
      <c r="N89">
        <v>0.5</v>
      </c>
      <c r="O89">
        <v>0.96015948057174683</v>
      </c>
      <c r="P89">
        <v>1</v>
      </c>
      <c r="Q89">
        <v>0.38461538461538464</v>
      </c>
      <c r="R89">
        <v>0.1</v>
      </c>
      <c r="S89">
        <f t="shared" si="3"/>
        <v>14.402392208576202</v>
      </c>
      <c r="T89">
        <f t="shared" si="4"/>
        <v>15</v>
      </c>
      <c r="U89">
        <f t="shared" si="5"/>
        <v>11700</v>
      </c>
    </row>
    <row r="90" spans="2:21" x14ac:dyDescent="0.25">
      <c r="B90" t="s">
        <v>1</v>
      </c>
      <c r="C90" t="s">
        <v>5</v>
      </c>
      <c r="D90" s="1">
        <v>0.70833333333333337</v>
      </c>
      <c r="E90">
        <v>12</v>
      </c>
      <c r="F90">
        <v>900</v>
      </c>
      <c r="G90">
        <v>2</v>
      </c>
      <c r="H90">
        <v>6</v>
      </c>
      <c r="I90" t="e">
        <v>#NAME?</v>
      </c>
      <c r="J90">
        <v>4</v>
      </c>
      <c r="K90" t="e">
        <v>#NAME?</v>
      </c>
      <c r="L90">
        <v>5</v>
      </c>
      <c r="M90">
        <v>4</v>
      </c>
      <c r="N90">
        <v>-1</v>
      </c>
      <c r="O90">
        <v>0.79946345090866089</v>
      </c>
      <c r="P90">
        <v>1</v>
      </c>
      <c r="Q90">
        <v>0.5</v>
      </c>
      <c r="R90">
        <v>0.1</v>
      </c>
      <c r="S90">
        <f t="shared" si="3"/>
        <v>9.5935614109039307</v>
      </c>
      <c r="T90">
        <f t="shared" si="4"/>
        <v>12</v>
      </c>
      <c r="U90">
        <f t="shared" si="5"/>
        <v>7200</v>
      </c>
    </row>
    <row r="91" spans="2:21" x14ac:dyDescent="0.25">
      <c r="B91" t="s">
        <v>1</v>
      </c>
      <c r="C91" t="s">
        <v>5</v>
      </c>
      <c r="D91" s="1">
        <v>0.72916666666666663</v>
      </c>
      <c r="E91">
        <v>13</v>
      </c>
      <c r="F91">
        <v>900</v>
      </c>
      <c r="G91">
        <v>2</v>
      </c>
      <c r="H91">
        <v>6.5</v>
      </c>
      <c r="I91" t="e">
        <v>#NAME?</v>
      </c>
      <c r="J91">
        <v>5</v>
      </c>
      <c r="K91" t="e">
        <v>#NAME?</v>
      </c>
      <c r="L91">
        <v>6</v>
      </c>
      <c r="M91">
        <v>3.5</v>
      </c>
      <c r="N91">
        <v>-2.5</v>
      </c>
      <c r="O91">
        <v>0.73665297031402588</v>
      </c>
      <c r="P91">
        <v>1</v>
      </c>
      <c r="Q91">
        <v>0.61904761904761907</v>
      </c>
      <c r="R91">
        <v>0.1</v>
      </c>
      <c r="S91">
        <f t="shared" si="3"/>
        <v>9.5764886140823364</v>
      </c>
      <c r="T91">
        <f t="shared" si="4"/>
        <v>13</v>
      </c>
      <c r="U91">
        <f t="shared" si="5"/>
        <v>6300</v>
      </c>
    </row>
    <row r="92" spans="2:21" x14ac:dyDescent="0.25">
      <c r="B92" t="s">
        <v>1</v>
      </c>
      <c r="C92" t="s">
        <v>5</v>
      </c>
      <c r="D92" s="1">
        <v>0.75</v>
      </c>
      <c r="E92">
        <v>8</v>
      </c>
      <c r="F92">
        <v>900</v>
      </c>
      <c r="G92">
        <v>2</v>
      </c>
      <c r="H92">
        <v>4</v>
      </c>
      <c r="I92" t="e">
        <v>#NAME?</v>
      </c>
      <c r="J92">
        <v>3</v>
      </c>
      <c r="K92" t="e">
        <v>#NAME?</v>
      </c>
      <c r="L92">
        <v>4</v>
      </c>
      <c r="M92">
        <v>2.5</v>
      </c>
      <c r="N92">
        <v>-1.5</v>
      </c>
      <c r="O92">
        <v>0.69815719127655029</v>
      </c>
      <c r="P92">
        <v>1</v>
      </c>
      <c r="Q92">
        <v>0.53333333333333333</v>
      </c>
      <c r="R92">
        <v>0.1</v>
      </c>
      <c r="S92">
        <f t="shared" si="3"/>
        <v>5.5852575302124023</v>
      </c>
      <c r="T92">
        <f t="shared" si="4"/>
        <v>8</v>
      </c>
      <c r="U92">
        <f t="shared" si="5"/>
        <v>4500</v>
      </c>
    </row>
    <row r="93" spans="2:21" x14ac:dyDescent="0.25">
      <c r="B93" t="s">
        <v>1</v>
      </c>
      <c r="C93" t="s">
        <v>5</v>
      </c>
      <c r="D93" s="1">
        <v>0.77083333333333337</v>
      </c>
      <c r="E93">
        <v>4</v>
      </c>
      <c r="F93">
        <v>900</v>
      </c>
      <c r="G93">
        <v>2</v>
      </c>
      <c r="H93">
        <v>2</v>
      </c>
      <c r="I93" t="e">
        <v>#NAME?</v>
      </c>
      <c r="J93">
        <v>2</v>
      </c>
      <c r="K93" t="e">
        <v>#NAME?</v>
      </c>
      <c r="L93">
        <v>3</v>
      </c>
      <c r="M93">
        <v>2.5</v>
      </c>
      <c r="N93">
        <v>-0.5</v>
      </c>
      <c r="O93">
        <v>0.90691697597503662</v>
      </c>
      <c r="P93">
        <v>1</v>
      </c>
      <c r="Q93">
        <v>0.26666666666666666</v>
      </c>
      <c r="R93">
        <v>0.1</v>
      </c>
      <c r="S93">
        <f t="shared" si="3"/>
        <v>3.6276679039001465</v>
      </c>
      <c r="T93">
        <f t="shared" si="4"/>
        <v>4</v>
      </c>
      <c r="U93">
        <f t="shared" si="5"/>
        <v>4500</v>
      </c>
    </row>
    <row r="94" spans="2:21" x14ac:dyDescent="0.25">
      <c r="B94" t="s">
        <v>1</v>
      </c>
      <c r="C94" t="s">
        <v>5</v>
      </c>
      <c r="D94" s="1">
        <v>0.79166666666666663</v>
      </c>
      <c r="E94">
        <v>2</v>
      </c>
      <c r="F94">
        <v>900</v>
      </c>
      <c r="G94">
        <v>2</v>
      </c>
      <c r="H94">
        <v>1</v>
      </c>
      <c r="I94" t="e">
        <v>#NAME?</v>
      </c>
      <c r="J94">
        <v>2</v>
      </c>
      <c r="K94" t="e">
        <v>#NAME?</v>
      </c>
      <c r="L94">
        <v>3</v>
      </c>
      <c r="M94">
        <v>3</v>
      </c>
      <c r="N94">
        <v>0</v>
      </c>
      <c r="O94">
        <v>0.97460842132568359</v>
      </c>
      <c r="P94">
        <v>1</v>
      </c>
      <c r="Q94">
        <v>0.1111111111111111</v>
      </c>
      <c r="R94">
        <v>0.1</v>
      </c>
      <c r="S94">
        <f t="shared" si="3"/>
        <v>1.9492168426513672</v>
      </c>
      <c r="T94">
        <f t="shared" si="4"/>
        <v>2</v>
      </c>
      <c r="U94">
        <f t="shared" si="5"/>
        <v>5400</v>
      </c>
    </row>
    <row r="95" spans="2:21" x14ac:dyDescent="0.25">
      <c r="B95" t="s">
        <v>1</v>
      </c>
      <c r="C95" t="s">
        <v>5</v>
      </c>
      <c r="D95" s="1">
        <v>0.8125</v>
      </c>
      <c r="E95">
        <v>1</v>
      </c>
      <c r="F95">
        <v>900</v>
      </c>
      <c r="G95">
        <v>2</v>
      </c>
      <c r="H95">
        <v>0.5</v>
      </c>
      <c r="I95" t="e">
        <v>#NAME?</v>
      </c>
      <c r="J95">
        <v>1</v>
      </c>
      <c r="K95" t="e">
        <v>#NAME?</v>
      </c>
      <c r="L95">
        <v>2</v>
      </c>
      <c r="M95">
        <v>3</v>
      </c>
      <c r="N95">
        <v>1</v>
      </c>
      <c r="O95">
        <v>0.99317312240600586</v>
      </c>
      <c r="P95">
        <v>1</v>
      </c>
      <c r="Q95">
        <v>5.5555555555555552E-2</v>
      </c>
      <c r="R95">
        <v>0.1</v>
      </c>
      <c r="S95">
        <f t="shared" si="3"/>
        <v>0.99317312240600586</v>
      </c>
      <c r="T95">
        <f t="shared" si="4"/>
        <v>1</v>
      </c>
      <c r="U95">
        <f t="shared" si="5"/>
        <v>5400</v>
      </c>
    </row>
    <row r="96" spans="2:21" x14ac:dyDescent="0.25">
      <c r="B96" t="s">
        <v>1</v>
      </c>
      <c r="C96" t="s">
        <v>5</v>
      </c>
      <c r="D96" s="1">
        <v>0.83333333333333337</v>
      </c>
      <c r="E96">
        <v>1</v>
      </c>
      <c r="F96">
        <v>900</v>
      </c>
      <c r="G96">
        <v>2</v>
      </c>
      <c r="H96">
        <v>0.5</v>
      </c>
      <c r="I96" t="e">
        <v>#NAME?</v>
      </c>
      <c r="J96">
        <v>1</v>
      </c>
      <c r="K96" t="e">
        <v>#NAME?</v>
      </c>
      <c r="L96">
        <v>2</v>
      </c>
      <c r="M96">
        <v>2</v>
      </c>
      <c r="N96">
        <v>0</v>
      </c>
      <c r="O96">
        <v>0.88590580224990845</v>
      </c>
      <c r="P96">
        <v>1</v>
      </c>
      <c r="Q96">
        <v>8.3333333333333329E-2</v>
      </c>
      <c r="R96">
        <v>0.1</v>
      </c>
      <c r="S96">
        <f t="shared" si="3"/>
        <v>0.88590580224990845</v>
      </c>
      <c r="T96">
        <f t="shared" si="4"/>
        <v>1</v>
      </c>
      <c r="U96">
        <f t="shared" si="5"/>
        <v>3600</v>
      </c>
    </row>
    <row r="97" spans="2:21" x14ac:dyDescent="0.25">
      <c r="B97" t="s">
        <v>1</v>
      </c>
      <c r="C97" t="s">
        <v>5</v>
      </c>
      <c r="D97" s="1">
        <v>0.85416666666666663</v>
      </c>
      <c r="E97">
        <v>1</v>
      </c>
      <c r="F97">
        <v>900</v>
      </c>
      <c r="G97">
        <v>2</v>
      </c>
      <c r="H97">
        <v>0.5</v>
      </c>
      <c r="I97" t="e">
        <v>#NAME?</v>
      </c>
      <c r="J97">
        <v>1</v>
      </c>
      <c r="K97" t="e">
        <v>#NAME?</v>
      </c>
      <c r="L97">
        <v>2</v>
      </c>
      <c r="M97">
        <v>2</v>
      </c>
      <c r="N97">
        <v>0</v>
      </c>
      <c r="O97">
        <v>0.88590580224990845</v>
      </c>
      <c r="P97">
        <v>1</v>
      </c>
      <c r="Q97">
        <v>8.3333333333333329E-2</v>
      </c>
      <c r="R97">
        <v>0.1</v>
      </c>
      <c r="S97">
        <f t="shared" si="3"/>
        <v>0.88590580224990845</v>
      </c>
      <c r="T97">
        <f t="shared" si="4"/>
        <v>1</v>
      </c>
      <c r="U97">
        <f t="shared" si="5"/>
        <v>3600</v>
      </c>
    </row>
    <row r="98" spans="2:21" x14ac:dyDescent="0.25">
      <c r="B98" t="s">
        <v>1</v>
      </c>
      <c r="C98" t="s">
        <v>5</v>
      </c>
      <c r="D98" s="1">
        <v>0.875</v>
      </c>
      <c r="E98">
        <v>0</v>
      </c>
      <c r="F98">
        <v>0</v>
      </c>
      <c r="G98">
        <v>2</v>
      </c>
      <c r="H98">
        <v>0</v>
      </c>
      <c r="I98" t="e">
        <v>#NAME?</v>
      </c>
      <c r="J98">
        <v>1</v>
      </c>
      <c r="K98" t="e">
        <v>#NAME?</v>
      </c>
      <c r="L98">
        <v>2</v>
      </c>
      <c r="M98">
        <v>2</v>
      </c>
      <c r="N98">
        <v>0</v>
      </c>
      <c r="O98" t="s">
        <v>72</v>
      </c>
      <c r="P98" t="s">
        <v>72</v>
      </c>
      <c r="Q98">
        <v>0</v>
      </c>
      <c r="R98">
        <v>0.1</v>
      </c>
      <c r="S98" t="str">
        <f t="shared" si="3"/>
        <v/>
      </c>
      <c r="T98" t="str">
        <f t="shared" si="4"/>
        <v/>
      </c>
      <c r="U98">
        <f t="shared" si="5"/>
        <v>3600</v>
      </c>
    </row>
    <row r="99" spans="2:21" x14ac:dyDescent="0.25">
      <c r="B99" t="s">
        <v>1</v>
      </c>
      <c r="C99" t="s">
        <v>5</v>
      </c>
      <c r="D99" s="1">
        <v>0.89583333333333337</v>
      </c>
      <c r="E99">
        <v>0</v>
      </c>
      <c r="F99">
        <v>0</v>
      </c>
      <c r="G99">
        <v>2</v>
      </c>
      <c r="H99">
        <v>0</v>
      </c>
      <c r="I99" t="e">
        <v>#NAME?</v>
      </c>
      <c r="J99">
        <v>1</v>
      </c>
      <c r="K99" t="e">
        <v>#NAME?</v>
      </c>
      <c r="L99">
        <v>2</v>
      </c>
      <c r="M99">
        <v>2</v>
      </c>
      <c r="N99">
        <v>0</v>
      </c>
      <c r="O99" t="s">
        <v>72</v>
      </c>
      <c r="P99" t="s">
        <v>72</v>
      </c>
      <c r="Q99">
        <v>0</v>
      </c>
      <c r="R99">
        <v>0.1</v>
      </c>
      <c r="S99" t="str">
        <f t="shared" si="3"/>
        <v/>
      </c>
      <c r="T99" t="str">
        <f t="shared" si="4"/>
        <v/>
      </c>
      <c r="U99">
        <f t="shared" si="5"/>
        <v>3600</v>
      </c>
    </row>
    <row r="100" spans="2:21" x14ac:dyDescent="0.25">
      <c r="B100" t="s">
        <v>1</v>
      </c>
      <c r="C100" t="s">
        <v>6</v>
      </c>
      <c r="D100" s="1">
        <v>0.25</v>
      </c>
      <c r="E100">
        <v>1</v>
      </c>
      <c r="F100">
        <v>900</v>
      </c>
      <c r="G100">
        <v>2</v>
      </c>
      <c r="H100">
        <v>0.5</v>
      </c>
      <c r="I100" t="e">
        <v>#NAME?</v>
      </c>
      <c r="J100">
        <v>1</v>
      </c>
      <c r="K100" t="e">
        <v>#NAME?</v>
      </c>
      <c r="L100">
        <v>2</v>
      </c>
      <c r="M100">
        <v>2</v>
      </c>
      <c r="N100">
        <v>0</v>
      </c>
      <c r="O100">
        <v>0.88590580224990845</v>
      </c>
      <c r="P100">
        <v>1</v>
      </c>
      <c r="Q100">
        <v>8.3333333333333329E-2</v>
      </c>
      <c r="R100">
        <v>0.1</v>
      </c>
      <c r="S100">
        <f t="shared" si="3"/>
        <v>0.88590580224990845</v>
      </c>
      <c r="T100">
        <f t="shared" si="4"/>
        <v>1</v>
      </c>
      <c r="U100">
        <f t="shared" si="5"/>
        <v>3600</v>
      </c>
    </row>
    <row r="101" spans="2:21" x14ac:dyDescent="0.25">
      <c r="B101" t="s">
        <v>1</v>
      </c>
      <c r="C101" t="s">
        <v>6</v>
      </c>
      <c r="D101" s="1">
        <v>0.27083333333333331</v>
      </c>
      <c r="E101">
        <v>1</v>
      </c>
      <c r="F101">
        <v>900</v>
      </c>
      <c r="G101">
        <v>2</v>
      </c>
      <c r="H101">
        <v>0.5</v>
      </c>
      <c r="I101" t="e">
        <v>#NAME?</v>
      </c>
      <c r="J101">
        <v>1</v>
      </c>
      <c r="K101" t="e">
        <v>#NAME?</v>
      </c>
      <c r="L101">
        <v>2</v>
      </c>
      <c r="M101">
        <v>2</v>
      </c>
      <c r="N101">
        <v>0</v>
      </c>
      <c r="O101">
        <v>0.88590580224990845</v>
      </c>
      <c r="P101">
        <v>1</v>
      </c>
      <c r="Q101">
        <v>8.3333333333333329E-2</v>
      </c>
      <c r="R101">
        <v>0.1</v>
      </c>
      <c r="S101">
        <f t="shared" si="3"/>
        <v>0.88590580224990845</v>
      </c>
      <c r="T101">
        <f t="shared" si="4"/>
        <v>1</v>
      </c>
      <c r="U101">
        <f t="shared" si="5"/>
        <v>3600</v>
      </c>
    </row>
    <row r="102" spans="2:21" x14ac:dyDescent="0.25">
      <c r="B102" t="s">
        <v>1</v>
      </c>
      <c r="C102" t="s">
        <v>6</v>
      </c>
      <c r="D102" s="1">
        <v>0.29166666666666669</v>
      </c>
      <c r="E102">
        <v>4</v>
      </c>
      <c r="F102">
        <v>900</v>
      </c>
      <c r="G102">
        <v>2</v>
      </c>
      <c r="H102">
        <v>2</v>
      </c>
      <c r="I102" t="e">
        <v>#NAME?</v>
      </c>
      <c r="J102">
        <v>2</v>
      </c>
      <c r="K102" t="e">
        <v>#NAME?</v>
      </c>
      <c r="L102">
        <v>3</v>
      </c>
      <c r="M102">
        <v>2</v>
      </c>
      <c r="N102">
        <v>-1</v>
      </c>
      <c r="O102">
        <v>0.6025581955909729</v>
      </c>
      <c r="P102">
        <v>1</v>
      </c>
      <c r="Q102">
        <v>0.33333333333333331</v>
      </c>
      <c r="R102">
        <v>0.1</v>
      </c>
      <c r="S102">
        <f t="shared" si="3"/>
        <v>2.4102327823638916</v>
      </c>
      <c r="T102">
        <f t="shared" si="4"/>
        <v>4</v>
      </c>
      <c r="U102">
        <f t="shared" si="5"/>
        <v>3600</v>
      </c>
    </row>
    <row r="103" spans="2:21" x14ac:dyDescent="0.25">
      <c r="B103" t="s">
        <v>1</v>
      </c>
      <c r="C103" t="s">
        <v>6</v>
      </c>
      <c r="D103" s="1">
        <v>0.3125</v>
      </c>
      <c r="E103">
        <v>4</v>
      </c>
      <c r="F103">
        <v>900</v>
      </c>
      <c r="G103">
        <v>2</v>
      </c>
      <c r="H103">
        <v>2</v>
      </c>
      <c r="I103" t="e">
        <v>#NAME?</v>
      </c>
      <c r="J103">
        <v>2</v>
      </c>
      <c r="K103" t="e">
        <v>#NAME?</v>
      </c>
      <c r="L103">
        <v>3</v>
      </c>
      <c r="M103">
        <v>2</v>
      </c>
      <c r="N103">
        <v>-1</v>
      </c>
      <c r="O103">
        <v>0.6025581955909729</v>
      </c>
      <c r="P103">
        <v>1</v>
      </c>
      <c r="Q103">
        <v>0.33333333333333331</v>
      </c>
      <c r="R103">
        <v>0.1</v>
      </c>
      <c r="S103">
        <f t="shared" si="3"/>
        <v>2.4102327823638916</v>
      </c>
      <c r="T103">
        <f t="shared" si="4"/>
        <v>4</v>
      </c>
      <c r="U103">
        <f t="shared" si="5"/>
        <v>3600</v>
      </c>
    </row>
    <row r="104" spans="2:21" x14ac:dyDescent="0.25">
      <c r="B104" t="s">
        <v>1</v>
      </c>
      <c r="C104" t="s">
        <v>6</v>
      </c>
      <c r="D104" s="1">
        <v>0.33333333333333331</v>
      </c>
      <c r="E104">
        <v>16</v>
      </c>
      <c r="F104">
        <v>900</v>
      </c>
      <c r="G104">
        <v>2</v>
      </c>
      <c r="H104">
        <v>8</v>
      </c>
      <c r="I104" t="e">
        <v>#NAME?</v>
      </c>
      <c r="J104">
        <v>5</v>
      </c>
      <c r="K104" t="e">
        <v>#NAME?</v>
      </c>
      <c r="L104">
        <v>6</v>
      </c>
      <c r="M104">
        <v>5</v>
      </c>
      <c r="N104">
        <v>-1</v>
      </c>
      <c r="O104">
        <v>0.84931617975234985</v>
      </c>
      <c r="P104">
        <v>1</v>
      </c>
      <c r="Q104">
        <v>0.53333333333333333</v>
      </c>
      <c r="R104">
        <v>0.1</v>
      </c>
      <c r="S104">
        <f t="shared" si="3"/>
        <v>13.589058876037598</v>
      </c>
      <c r="T104">
        <f t="shared" si="4"/>
        <v>16</v>
      </c>
      <c r="U104">
        <f t="shared" si="5"/>
        <v>9000</v>
      </c>
    </row>
    <row r="105" spans="2:21" x14ac:dyDescent="0.25">
      <c r="B105" t="s">
        <v>1</v>
      </c>
      <c r="C105" t="s">
        <v>6</v>
      </c>
      <c r="D105" s="1">
        <v>0.35416666666666669</v>
      </c>
      <c r="E105">
        <v>18</v>
      </c>
      <c r="F105">
        <v>900</v>
      </c>
      <c r="G105">
        <v>2</v>
      </c>
      <c r="H105">
        <v>9</v>
      </c>
      <c r="I105" t="e">
        <v>#NAME?</v>
      </c>
      <c r="J105">
        <v>6</v>
      </c>
      <c r="K105" t="e">
        <v>#NAME?</v>
      </c>
      <c r="L105">
        <v>7</v>
      </c>
      <c r="M105">
        <v>4.5</v>
      </c>
      <c r="N105">
        <v>-2.5</v>
      </c>
      <c r="O105">
        <v>0.77103674411773682</v>
      </c>
      <c r="P105">
        <v>1</v>
      </c>
      <c r="Q105">
        <v>0.66666666666666663</v>
      </c>
      <c r="R105">
        <v>0.1</v>
      </c>
      <c r="S105">
        <f t="shared" si="3"/>
        <v>13.878661394119263</v>
      </c>
      <c r="T105">
        <f t="shared" si="4"/>
        <v>18</v>
      </c>
      <c r="U105">
        <f t="shared" si="5"/>
        <v>8100</v>
      </c>
    </row>
    <row r="106" spans="2:21" x14ac:dyDescent="0.25">
      <c r="B106" t="s">
        <v>1</v>
      </c>
      <c r="C106" t="s">
        <v>6</v>
      </c>
      <c r="D106" s="1">
        <v>0.375</v>
      </c>
      <c r="E106">
        <v>13</v>
      </c>
      <c r="F106">
        <v>900</v>
      </c>
      <c r="G106">
        <v>2</v>
      </c>
      <c r="H106">
        <v>6.5</v>
      </c>
      <c r="I106" t="e">
        <v>#NAME?</v>
      </c>
      <c r="J106">
        <v>5</v>
      </c>
      <c r="K106" t="e">
        <v>#NAME?</v>
      </c>
      <c r="L106">
        <v>6</v>
      </c>
      <c r="M106">
        <v>6</v>
      </c>
      <c r="N106">
        <v>0</v>
      </c>
      <c r="O106">
        <v>0.97557997703552246</v>
      </c>
      <c r="P106">
        <v>1</v>
      </c>
      <c r="Q106">
        <v>0.3611111111111111</v>
      </c>
      <c r="R106">
        <v>0.1</v>
      </c>
      <c r="S106">
        <f t="shared" si="3"/>
        <v>12.682539701461792</v>
      </c>
      <c r="T106">
        <f t="shared" si="4"/>
        <v>13</v>
      </c>
      <c r="U106">
        <f t="shared" si="5"/>
        <v>10800</v>
      </c>
    </row>
    <row r="107" spans="2:21" x14ac:dyDescent="0.25">
      <c r="B107" t="s">
        <v>1</v>
      </c>
      <c r="C107" t="s">
        <v>6</v>
      </c>
      <c r="D107" s="1">
        <v>0.39583333333333331</v>
      </c>
      <c r="E107">
        <v>17</v>
      </c>
      <c r="F107">
        <v>900</v>
      </c>
      <c r="G107">
        <v>2</v>
      </c>
      <c r="H107">
        <v>8.5</v>
      </c>
      <c r="I107" t="e">
        <v>#NAME?</v>
      </c>
      <c r="J107">
        <v>5</v>
      </c>
      <c r="K107" t="e">
        <v>#NAME?</v>
      </c>
      <c r="L107">
        <v>6</v>
      </c>
      <c r="M107">
        <v>5.5</v>
      </c>
      <c r="N107">
        <v>-0.5</v>
      </c>
      <c r="O107">
        <v>0.83494746685028076</v>
      </c>
      <c r="P107">
        <v>0.98823529411764688</v>
      </c>
      <c r="Q107">
        <v>0.51515151515151514</v>
      </c>
      <c r="R107">
        <v>0.1</v>
      </c>
      <c r="S107">
        <f t="shared" si="3"/>
        <v>14.194106936454773</v>
      </c>
      <c r="T107">
        <f t="shared" si="4"/>
        <v>16.799999999999997</v>
      </c>
      <c r="U107">
        <f t="shared" si="5"/>
        <v>9900</v>
      </c>
    </row>
    <row r="108" spans="2:21" x14ac:dyDescent="0.25">
      <c r="B108" t="s">
        <v>1</v>
      </c>
      <c r="C108" t="s">
        <v>6</v>
      </c>
      <c r="D108" s="1">
        <v>0.41666666666666669</v>
      </c>
      <c r="E108">
        <v>22</v>
      </c>
      <c r="F108">
        <v>900</v>
      </c>
      <c r="G108">
        <v>2</v>
      </c>
      <c r="H108">
        <v>11</v>
      </c>
      <c r="I108" t="e">
        <v>#NAME?</v>
      </c>
      <c r="J108">
        <v>6</v>
      </c>
      <c r="K108" t="e">
        <v>#NAME?</v>
      </c>
      <c r="L108">
        <v>7</v>
      </c>
      <c r="M108">
        <v>6</v>
      </c>
      <c r="N108">
        <v>-1</v>
      </c>
      <c r="O108">
        <v>0.84312629699707031</v>
      </c>
      <c r="P108">
        <v>0.89090909090909065</v>
      </c>
      <c r="Q108">
        <v>0.61111111111111116</v>
      </c>
      <c r="R108">
        <v>0.1</v>
      </c>
      <c r="S108">
        <f t="shared" si="3"/>
        <v>18.548778533935547</v>
      </c>
      <c r="T108">
        <f t="shared" si="4"/>
        <v>19.599999999999994</v>
      </c>
      <c r="U108">
        <f t="shared" si="5"/>
        <v>10800</v>
      </c>
    </row>
    <row r="109" spans="2:21" x14ac:dyDescent="0.25">
      <c r="B109" t="s">
        <v>1</v>
      </c>
      <c r="C109" t="s">
        <v>6</v>
      </c>
      <c r="D109" s="1">
        <v>0.4375</v>
      </c>
      <c r="E109">
        <v>24</v>
      </c>
      <c r="F109">
        <v>900</v>
      </c>
      <c r="G109">
        <v>2</v>
      </c>
      <c r="H109">
        <v>12</v>
      </c>
      <c r="I109" t="e">
        <v>#NAME?</v>
      </c>
      <c r="J109">
        <v>7</v>
      </c>
      <c r="K109" t="e">
        <v>#NAME?</v>
      </c>
      <c r="L109">
        <v>8</v>
      </c>
      <c r="M109">
        <v>6.5</v>
      </c>
      <c r="N109">
        <v>-1.5</v>
      </c>
      <c r="O109">
        <v>0.80997604131698608</v>
      </c>
      <c r="P109">
        <v>0.93333333333333324</v>
      </c>
      <c r="Q109">
        <v>0.61538461538461542</v>
      </c>
      <c r="R109">
        <v>0.1</v>
      </c>
      <c r="S109">
        <f t="shared" si="3"/>
        <v>19.439424991607666</v>
      </c>
      <c r="T109">
        <f t="shared" si="4"/>
        <v>22.4</v>
      </c>
      <c r="U109">
        <f t="shared" si="5"/>
        <v>11700</v>
      </c>
    </row>
    <row r="110" spans="2:21" x14ac:dyDescent="0.25">
      <c r="B110" t="s">
        <v>1</v>
      </c>
      <c r="C110" t="s">
        <v>6</v>
      </c>
      <c r="D110" s="1">
        <v>0.45833333333333331</v>
      </c>
      <c r="E110">
        <v>18</v>
      </c>
      <c r="F110">
        <v>900</v>
      </c>
      <c r="G110">
        <v>2</v>
      </c>
      <c r="H110">
        <v>9</v>
      </c>
      <c r="I110" t="e">
        <v>#NAME?</v>
      </c>
      <c r="J110">
        <v>6</v>
      </c>
      <c r="K110" t="e">
        <v>#NAME?</v>
      </c>
      <c r="L110">
        <v>7</v>
      </c>
      <c r="M110">
        <v>7</v>
      </c>
      <c r="N110">
        <v>0</v>
      </c>
      <c r="O110">
        <v>0.97305655479431152</v>
      </c>
      <c r="P110">
        <v>1</v>
      </c>
      <c r="Q110">
        <v>0.42857142857142855</v>
      </c>
      <c r="R110">
        <v>0.1</v>
      </c>
      <c r="S110">
        <f t="shared" si="3"/>
        <v>17.515017986297607</v>
      </c>
      <c r="T110">
        <f t="shared" si="4"/>
        <v>18</v>
      </c>
      <c r="U110">
        <f t="shared" si="5"/>
        <v>12600</v>
      </c>
    </row>
    <row r="111" spans="2:21" x14ac:dyDescent="0.25">
      <c r="B111" t="s">
        <v>1</v>
      </c>
      <c r="C111" t="s">
        <v>6</v>
      </c>
      <c r="D111" s="1">
        <v>0.47916666666666669</v>
      </c>
      <c r="E111">
        <v>12</v>
      </c>
      <c r="F111">
        <v>900</v>
      </c>
      <c r="G111">
        <v>2</v>
      </c>
      <c r="H111">
        <v>6</v>
      </c>
      <c r="I111" t="e">
        <v>#NAME?</v>
      </c>
      <c r="J111">
        <v>4</v>
      </c>
      <c r="K111" t="e">
        <v>#NAME?</v>
      </c>
      <c r="L111">
        <v>5</v>
      </c>
      <c r="M111">
        <v>6</v>
      </c>
      <c r="N111">
        <v>1</v>
      </c>
      <c r="O111">
        <v>0.9820898175239563</v>
      </c>
      <c r="P111">
        <v>1</v>
      </c>
      <c r="Q111">
        <v>0.33333333333333331</v>
      </c>
      <c r="R111">
        <v>0.1</v>
      </c>
      <c r="S111">
        <f t="shared" si="3"/>
        <v>11.785077810287476</v>
      </c>
      <c r="T111">
        <f t="shared" si="4"/>
        <v>12</v>
      </c>
      <c r="U111">
        <f t="shared" si="5"/>
        <v>10800</v>
      </c>
    </row>
    <row r="112" spans="2:21" x14ac:dyDescent="0.25">
      <c r="B112" t="s">
        <v>1</v>
      </c>
      <c r="C112" t="s">
        <v>6</v>
      </c>
      <c r="D112" s="1">
        <v>0.5</v>
      </c>
      <c r="E112">
        <v>8</v>
      </c>
      <c r="F112">
        <v>900</v>
      </c>
      <c r="G112">
        <v>2</v>
      </c>
      <c r="H112">
        <v>4</v>
      </c>
      <c r="I112" t="e">
        <v>#NAME?</v>
      </c>
      <c r="J112">
        <v>3</v>
      </c>
      <c r="K112" t="e">
        <v>#NAME?</v>
      </c>
      <c r="L112">
        <v>4</v>
      </c>
      <c r="M112">
        <v>6</v>
      </c>
      <c r="N112">
        <v>2</v>
      </c>
      <c r="O112">
        <v>0.99658840894699097</v>
      </c>
      <c r="P112">
        <v>1</v>
      </c>
      <c r="Q112">
        <v>0.22222222222222221</v>
      </c>
      <c r="R112">
        <v>0.1</v>
      </c>
      <c r="S112">
        <f t="shared" si="3"/>
        <v>7.9727072715759277</v>
      </c>
      <c r="T112">
        <f t="shared" si="4"/>
        <v>8</v>
      </c>
      <c r="U112">
        <f t="shared" si="5"/>
        <v>10800</v>
      </c>
    </row>
    <row r="113" spans="2:21" x14ac:dyDescent="0.25">
      <c r="B113" t="s">
        <v>1</v>
      </c>
      <c r="C113" t="s">
        <v>6</v>
      </c>
      <c r="D113" s="1">
        <v>0.52083333333333337</v>
      </c>
      <c r="E113">
        <v>9</v>
      </c>
      <c r="F113">
        <v>900</v>
      </c>
      <c r="G113">
        <v>2</v>
      </c>
      <c r="H113">
        <v>4.5</v>
      </c>
      <c r="I113" t="e">
        <v>#NAME?</v>
      </c>
      <c r="J113">
        <v>4</v>
      </c>
      <c r="K113" t="e">
        <v>#NAME?</v>
      </c>
      <c r="L113">
        <v>5</v>
      </c>
      <c r="M113">
        <v>6</v>
      </c>
      <c r="N113">
        <v>1</v>
      </c>
      <c r="O113">
        <v>0.99440097808837891</v>
      </c>
      <c r="P113">
        <v>1</v>
      </c>
      <c r="Q113">
        <v>0.25</v>
      </c>
      <c r="R113">
        <v>0.1</v>
      </c>
      <c r="S113">
        <f t="shared" si="3"/>
        <v>8.9496088027954102</v>
      </c>
      <c r="T113">
        <f t="shared" si="4"/>
        <v>9</v>
      </c>
      <c r="U113">
        <f t="shared" si="5"/>
        <v>10800</v>
      </c>
    </row>
    <row r="114" spans="2:21" x14ac:dyDescent="0.25">
      <c r="B114" t="s">
        <v>1</v>
      </c>
      <c r="C114" t="s">
        <v>6</v>
      </c>
      <c r="D114" s="1">
        <v>0.54166666666666663</v>
      </c>
      <c r="E114">
        <v>8</v>
      </c>
      <c r="F114">
        <v>900</v>
      </c>
      <c r="G114">
        <v>2</v>
      </c>
      <c r="H114">
        <v>4</v>
      </c>
      <c r="I114" t="e">
        <v>#NAME?</v>
      </c>
      <c r="J114">
        <v>3</v>
      </c>
      <c r="K114" t="e">
        <v>#NAME?</v>
      </c>
      <c r="L114">
        <v>4</v>
      </c>
      <c r="M114">
        <v>5</v>
      </c>
      <c r="N114">
        <v>1</v>
      </c>
      <c r="O114">
        <v>0.98177999258041382</v>
      </c>
      <c r="P114">
        <v>1</v>
      </c>
      <c r="Q114">
        <v>0.26666666666666666</v>
      </c>
      <c r="R114">
        <v>0.1</v>
      </c>
      <c r="S114">
        <f t="shared" si="3"/>
        <v>7.8542399406433105</v>
      </c>
      <c r="T114">
        <f t="shared" si="4"/>
        <v>8</v>
      </c>
      <c r="U114">
        <f t="shared" si="5"/>
        <v>9000</v>
      </c>
    </row>
    <row r="115" spans="2:21" x14ac:dyDescent="0.25">
      <c r="B115" t="s">
        <v>1</v>
      </c>
      <c r="C115" t="s">
        <v>6</v>
      </c>
      <c r="D115" s="1">
        <v>0.5625</v>
      </c>
      <c r="E115">
        <v>7</v>
      </c>
      <c r="F115">
        <v>900</v>
      </c>
      <c r="G115">
        <v>2</v>
      </c>
      <c r="H115">
        <v>3.5</v>
      </c>
      <c r="I115" t="e">
        <v>#NAME?</v>
      </c>
      <c r="J115">
        <v>3</v>
      </c>
      <c r="K115" t="e">
        <v>#NAME?</v>
      </c>
      <c r="L115">
        <v>4</v>
      </c>
      <c r="M115">
        <v>6</v>
      </c>
      <c r="N115">
        <v>2</v>
      </c>
      <c r="O115">
        <v>0.99807721376419067</v>
      </c>
      <c r="P115">
        <v>1</v>
      </c>
      <c r="Q115">
        <v>0.19444444444444445</v>
      </c>
      <c r="R115">
        <v>0.1</v>
      </c>
      <c r="S115">
        <f t="shared" si="3"/>
        <v>6.9865404963493347</v>
      </c>
      <c r="T115">
        <f t="shared" si="4"/>
        <v>7</v>
      </c>
      <c r="U115">
        <f t="shared" si="5"/>
        <v>10800</v>
      </c>
    </row>
    <row r="116" spans="2:21" x14ac:dyDescent="0.25">
      <c r="B116" t="s">
        <v>1</v>
      </c>
      <c r="C116" t="s">
        <v>6</v>
      </c>
      <c r="D116" s="1">
        <v>0.58333333333333337</v>
      </c>
      <c r="E116">
        <v>17</v>
      </c>
      <c r="F116">
        <v>900</v>
      </c>
      <c r="G116">
        <v>2</v>
      </c>
      <c r="H116">
        <v>8.5</v>
      </c>
      <c r="I116" t="e">
        <v>#NAME?</v>
      </c>
      <c r="J116">
        <v>5</v>
      </c>
      <c r="K116" t="e">
        <v>#NAME?</v>
      </c>
      <c r="L116">
        <v>6</v>
      </c>
      <c r="M116">
        <v>6</v>
      </c>
      <c r="N116">
        <v>0</v>
      </c>
      <c r="O116">
        <v>0.93430823087692261</v>
      </c>
      <c r="P116">
        <v>0.98823529411764688</v>
      </c>
      <c r="Q116">
        <v>0.47222222222222221</v>
      </c>
      <c r="R116">
        <v>0.1</v>
      </c>
      <c r="S116">
        <f t="shared" si="3"/>
        <v>15.883239924907684</v>
      </c>
      <c r="T116">
        <f t="shared" si="4"/>
        <v>16.799999999999997</v>
      </c>
      <c r="U116">
        <f t="shared" si="5"/>
        <v>10800</v>
      </c>
    </row>
    <row r="117" spans="2:21" x14ac:dyDescent="0.25">
      <c r="B117" t="s">
        <v>1</v>
      </c>
      <c r="C117" t="s">
        <v>6</v>
      </c>
      <c r="D117" s="1">
        <v>0.60416666666666663</v>
      </c>
      <c r="E117">
        <v>19</v>
      </c>
      <c r="F117">
        <v>900</v>
      </c>
      <c r="G117">
        <v>2</v>
      </c>
      <c r="H117">
        <v>9.5</v>
      </c>
      <c r="I117" t="e">
        <v>#NAME?</v>
      </c>
      <c r="J117">
        <v>6</v>
      </c>
      <c r="K117" t="e">
        <v>#NAME?</v>
      </c>
      <c r="L117">
        <v>7</v>
      </c>
      <c r="M117">
        <v>6</v>
      </c>
      <c r="N117">
        <v>-1</v>
      </c>
      <c r="O117">
        <v>0.90337985754013062</v>
      </c>
      <c r="P117">
        <v>1</v>
      </c>
      <c r="Q117">
        <v>0.52777777777777779</v>
      </c>
      <c r="R117">
        <v>0.1</v>
      </c>
      <c r="S117">
        <f t="shared" si="3"/>
        <v>17.164217293262482</v>
      </c>
      <c r="T117">
        <f t="shared" si="4"/>
        <v>19</v>
      </c>
      <c r="U117">
        <f t="shared" si="5"/>
        <v>10800</v>
      </c>
    </row>
    <row r="118" spans="2:21" x14ac:dyDescent="0.25">
      <c r="B118" t="s">
        <v>1</v>
      </c>
      <c r="C118" t="s">
        <v>6</v>
      </c>
      <c r="D118" s="1">
        <v>0.625</v>
      </c>
      <c r="E118">
        <v>16</v>
      </c>
      <c r="F118">
        <v>900</v>
      </c>
      <c r="G118">
        <v>2</v>
      </c>
      <c r="H118">
        <v>8</v>
      </c>
      <c r="I118" t="e">
        <v>#NAME?</v>
      </c>
      <c r="J118">
        <v>5</v>
      </c>
      <c r="K118" t="e">
        <v>#NAME?</v>
      </c>
      <c r="L118">
        <v>6</v>
      </c>
      <c r="M118">
        <v>6.5</v>
      </c>
      <c r="N118">
        <v>0.5</v>
      </c>
      <c r="O118">
        <v>0.94976907968521118</v>
      </c>
      <c r="P118">
        <v>1</v>
      </c>
      <c r="Q118">
        <v>0.41025641025641024</v>
      </c>
      <c r="R118">
        <v>0.1</v>
      </c>
      <c r="S118">
        <f t="shared" si="3"/>
        <v>15.196305274963379</v>
      </c>
      <c r="T118">
        <f t="shared" si="4"/>
        <v>16</v>
      </c>
      <c r="U118">
        <f t="shared" si="5"/>
        <v>11700</v>
      </c>
    </row>
    <row r="119" spans="2:21" x14ac:dyDescent="0.25">
      <c r="B119" t="s">
        <v>1</v>
      </c>
      <c r="C119" t="s">
        <v>6</v>
      </c>
      <c r="D119" s="1">
        <v>0.64583333333333337</v>
      </c>
      <c r="E119">
        <v>18</v>
      </c>
      <c r="F119">
        <v>900</v>
      </c>
      <c r="G119">
        <v>2</v>
      </c>
      <c r="H119">
        <v>9</v>
      </c>
      <c r="I119" t="e">
        <v>#NAME?</v>
      </c>
      <c r="J119">
        <v>6</v>
      </c>
      <c r="K119" t="e">
        <v>#NAME?</v>
      </c>
      <c r="L119">
        <v>7</v>
      </c>
      <c r="M119">
        <v>6.5</v>
      </c>
      <c r="N119">
        <v>-0.5</v>
      </c>
      <c r="O119">
        <v>0.92434817552566528</v>
      </c>
      <c r="P119">
        <v>1</v>
      </c>
      <c r="Q119">
        <v>0.46153846153846156</v>
      </c>
      <c r="R119">
        <v>0.1</v>
      </c>
      <c r="S119">
        <f t="shared" si="3"/>
        <v>16.638267159461975</v>
      </c>
      <c r="T119">
        <f t="shared" si="4"/>
        <v>18</v>
      </c>
      <c r="U119">
        <f t="shared" si="5"/>
        <v>11700</v>
      </c>
    </row>
    <row r="120" spans="2:21" x14ac:dyDescent="0.25">
      <c r="B120" t="s">
        <v>1</v>
      </c>
      <c r="C120" t="s">
        <v>6</v>
      </c>
      <c r="D120" s="1">
        <v>0.66666666666666663</v>
      </c>
      <c r="E120">
        <v>21</v>
      </c>
      <c r="F120">
        <v>900</v>
      </c>
      <c r="G120">
        <v>2</v>
      </c>
      <c r="H120">
        <v>10.5</v>
      </c>
      <c r="I120" t="e">
        <v>#NAME?</v>
      </c>
      <c r="J120">
        <v>6</v>
      </c>
      <c r="K120" t="e">
        <v>#NAME?</v>
      </c>
      <c r="L120">
        <v>7</v>
      </c>
      <c r="M120">
        <v>5.5</v>
      </c>
      <c r="N120">
        <v>-1.5</v>
      </c>
      <c r="O120">
        <v>0.72022688388824463</v>
      </c>
      <c r="P120">
        <v>0.93333333333333302</v>
      </c>
      <c r="Q120">
        <v>0.63636363636363635</v>
      </c>
      <c r="R120">
        <v>0.1</v>
      </c>
      <c r="S120">
        <f t="shared" si="3"/>
        <v>15.124764561653137</v>
      </c>
      <c r="T120">
        <f t="shared" si="4"/>
        <v>19.599999999999994</v>
      </c>
      <c r="U120">
        <f t="shared" si="5"/>
        <v>9900</v>
      </c>
    </row>
    <row r="121" spans="2:21" x14ac:dyDescent="0.25">
      <c r="B121" t="s">
        <v>1</v>
      </c>
      <c r="C121" t="s">
        <v>6</v>
      </c>
      <c r="D121" s="1">
        <v>0.6875</v>
      </c>
      <c r="E121">
        <v>17</v>
      </c>
      <c r="F121">
        <v>900</v>
      </c>
      <c r="G121">
        <v>2</v>
      </c>
      <c r="H121">
        <v>8.5</v>
      </c>
      <c r="I121" t="e">
        <v>#NAME?</v>
      </c>
      <c r="J121">
        <v>5</v>
      </c>
      <c r="K121" t="e">
        <v>#NAME?</v>
      </c>
      <c r="L121">
        <v>6</v>
      </c>
      <c r="M121">
        <v>5.5</v>
      </c>
      <c r="N121">
        <v>-0.5</v>
      </c>
      <c r="O121">
        <v>0.83494746685028076</v>
      </c>
      <c r="P121">
        <v>0.98823529411764688</v>
      </c>
      <c r="Q121">
        <v>0.51515151515151514</v>
      </c>
      <c r="R121">
        <v>0.1</v>
      </c>
      <c r="S121">
        <f t="shared" si="3"/>
        <v>14.194106936454773</v>
      </c>
      <c r="T121">
        <f t="shared" si="4"/>
        <v>16.799999999999997</v>
      </c>
      <c r="U121">
        <f t="shared" si="5"/>
        <v>9900</v>
      </c>
    </row>
    <row r="122" spans="2:21" x14ac:dyDescent="0.25">
      <c r="B122" t="s">
        <v>1</v>
      </c>
      <c r="C122" t="s">
        <v>6</v>
      </c>
      <c r="D122" s="1">
        <v>0.70833333333333337</v>
      </c>
      <c r="E122">
        <v>18</v>
      </c>
      <c r="F122">
        <v>900</v>
      </c>
      <c r="G122">
        <v>2</v>
      </c>
      <c r="H122">
        <v>9</v>
      </c>
      <c r="I122" t="e">
        <v>#NAME?</v>
      </c>
      <c r="J122">
        <v>6</v>
      </c>
      <c r="K122" t="e">
        <v>#NAME?</v>
      </c>
      <c r="L122">
        <v>7</v>
      </c>
      <c r="M122">
        <v>5</v>
      </c>
      <c r="N122">
        <v>-2</v>
      </c>
      <c r="O122">
        <v>0.79302173852920532</v>
      </c>
      <c r="P122">
        <v>1</v>
      </c>
      <c r="Q122">
        <v>0.6</v>
      </c>
      <c r="R122">
        <v>0.1</v>
      </c>
      <c r="S122">
        <f t="shared" si="3"/>
        <v>14.274391293525696</v>
      </c>
      <c r="T122">
        <f t="shared" si="4"/>
        <v>18</v>
      </c>
      <c r="U122">
        <f t="shared" si="5"/>
        <v>9000</v>
      </c>
    </row>
    <row r="123" spans="2:21" x14ac:dyDescent="0.25">
      <c r="B123" t="s">
        <v>1</v>
      </c>
      <c r="C123" t="s">
        <v>6</v>
      </c>
      <c r="D123" s="1">
        <v>0.72916666666666663</v>
      </c>
      <c r="E123">
        <v>15</v>
      </c>
      <c r="F123">
        <v>900</v>
      </c>
      <c r="G123">
        <v>2</v>
      </c>
      <c r="H123">
        <v>7.5</v>
      </c>
      <c r="I123" t="e">
        <v>#NAME?</v>
      </c>
      <c r="J123">
        <v>5</v>
      </c>
      <c r="K123" t="e">
        <v>#NAME?</v>
      </c>
      <c r="L123">
        <v>6</v>
      </c>
      <c r="M123">
        <v>4.5</v>
      </c>
      <c r="N123">
        <v>-1.5</v>
      </c>
      <c r="O123">
        <v>0.86343234777450562</v>
      </c>
      <c r="P123">
        <v>1</v>
      </c>
      <c r="Q123">
        <v>0.55555555555555558</v>
      </c>
      <c r="R123">
        <v>0.1</v>
      </c>
      <c r="S123">
        <f t="shared" si="3"/>
        <v>12.951485216617584</v>
      </c>
      <c r="T123">
        <f t="shared" si="4"/>
        <v>15</v>
      </c>
      <c r="U123">
        <f t="shared" si="5"/>
        <v>8100</v>
      </c>
    </row>
    <row r="124" spans="2:21" x14ac:dyDescent="0.25">
      <c r="B124" t="s">
        <v>1</v>
      </c>
      <c r="C124" t="s">
        <v>6</v>
      </c>
      <c r="D124" s="1">
        <v>0.75</v>
      </c>
      <c r="E124">
        <v>11</v>
      </c>
      <c r="F124">
        <v>900</v>
      </c>
      <c r="G124">
        <v>2</v>
      </c>
      <c r="H124">
        <v>5.5</v>
      </c>
      <c r="I124" t="e">
        <v>#NAME?</v>
      </c>
      <c r="J124">
        <v>4</v>
      </c>
      <c r="K124" t="e">
        <v>#NAME?</v>
      </c>
      <c r="L124">
        <v>5</v>
      </c>
      <c r="M124">
        <v>3.5</v>
      </c>
      <c r="N124">
        <v>-1.5</v>
      </c>
      <c r="O124">
        <v>0.81924140453338623</v>
      </c>
      <c r="P124">
        <v>1</v>
      </c>
      <c r="Q124">
        <v>0.52380952380952384</v>
      </c>
      <c r="R124">
        <v>0.1</v>
      </c>
      <c r="S124">
        <f t="shared" si="3"/>
        <v>9.0116554498672485</v>
      </c>
      <c r="T124">
        <f t="shared" si="4"/>
        <v>11</v>
      </c>
      <c r="U124">
        <f t="shared" si="5"/>
        <v>6300</v>
      </c>
    </row>
    <row r="125" spans="2:21" x14ac:dyDescent="0.25">
      <c r="B125" t="s">
        <v>1</v>
      </c>
      <c r="C125" t="s">
        <v>6</v>
      </c>
      <c r="D125" s="1">
        <v>0.77083333333333337</v>
      </c>
      <c r="E125">
        <v>5</v>
      </c>
      <c r="F125">
        <v>900</v>
      </c>
      <c r="G125">
        <v>2</v>
      </c>
      <c r="H125">
        <v>2.5</v>
      </c>
      <c r="I125" t="e">
        <v>#NAME?</v>
      </c>
      <c r="J125">
        <v>3</v>
      </c>
      <c r="K125" t="e">
        <v>#NAME?</v>
      </c>
      <c r="L125">
        <v>4</v>
      </c>
      <c r="M125">
        <v>3.5</v>
      </c>
      <c r="N125">
        <v>-0.5</v>
      </c>
      <c r="O125">
        <v>0.97435057163238525</v>
      </c>
      <c r="P125">
        <v>1</v>
      </c>
      <c r="Q125">
        <v>0.23809523809523808</v>
      </c>
      <c r="R125">
        <v>0.1</v>
      </c>
      <c r="S125">
        <f t="shared" si="3"/>
        <v>4.8717528581619263</v>
      </c>
      <c r="T125">
        <f t="shared" si="4"/>
        <v>5</v>
      </c>
      <c r="U125">
        <f t="shared" si="5"/>
        <v>6300</v>
      </c>
    </row>
    <row r="126" spans="2:21" x14ac:dyDescent="0.25">
      <c r="B126" t="s">
        <v>1</v>
      </c>
      <c r="C126" t="s">
        <v>6</v>
      </c>
      <c r="D126" s="1">
        <v>0.79166666666666663</v>
      </c>
      <c r="E126">
        <v>1</v>
      </c>
      <c r="F126">
        <v>900</v>
      </c>
      <c r="G126">
        <v>2</v>
      </c>
      <c r="H126">
        <v>0.5</v>
      </c>
      <c r="I126" t="e">
        <v>#NAME?</v>
      </c>
      <c r="J126">
        <v>1</v>
      </c>
      <c r="K126" t="e">
        <v>#NAME?</v>
      </c>
      <c r="L126">
        <v>2</v>
      </c>
      <c r="M126">
        <v>3</v>
      </c>
      <c r="N126">
        <v>1</v>
      </c>
      <c r="O126">
        <v>0.99317312240600586</v>
      </c>
      <c r="P126">
        <v>1</v>
      </c>
      <c r="Q126">
        <v>5.5555555555555552E-2</v>
      </c>
      <c r="R126">
        <v>0.1</v>
      </c>
      <c r="S126">
        <f t="shared" si="3"/>
        <v>0.99317312240600586</v>
      </c>
      <c r="T126">
        <f t="shared" si="4"/>
        <v>1</v>
      </c>
      <c r="U126">
        <f t="shared" si="5"/>
        <v>5400</v>
      </c>
    </row>
    <row r="127" spans="2:21" x14ac:dyDescent="0.25">
      <c r="B127" t="s">
        <v>1</v>
      </c>
      <c r="C127" t="s">
        <v>6</v>
      </c>
      <c r="D127" s="1">
        <v>0.8125</v>
      </c>
      <c r="E127">
        <v>1</v>
      </c>
      <c r="F127">
        <v>900</v>
      </c>
      <c r="G127">
        <v>2</v>
      </c>
      <c r="H127">
        <v>0.5</v>
      </c>
      <c r="I127" t="e">
        <v>#NAME?</v>
      </c>
      <c r="J127">
        <v>1</v>
      </c>
      <c r="K127" t="e">
        <v>#NAME?</v>
      </c>
      <c r="L127">
        <v>2</v>
      </c>
      <c r="M127">
        <v>3</v>
      </c>
      <c r="N127">
        <v>1</v>
      </c>
      <c r="O127">
        <v>0.99317312240600586</v>
      </c>
      <c r="P127">
        <v>1</v>
      </c>
      <c r="Q127">
        <v>5.5555555555555552E-2</v>
      </c>
      <c r="R127">
        <v>0.1</v>
      </c>
      <c r="S127">
        <f t="shared" si="3"/>
        <v>0.99317312240600586</v>
      </c>
      <c r="T127">
        <f t="shared" si="4"/>
        <v>1</v>
      </c>
      <c r="U127">
        <f t="shared" si="5"/>
        <v>5400</v>
      </c>
    </row>
    <row r="128" spans="2:21" x14ac:dyDescent="0.25">
      <c r="B128" t="s">
        <v>1</v>
      </c>
      <c r="C128" t="s">
        <v>6</v>
      </c>
      <c r="D128" s="1">
        <v>0.83333333333333337</v>
      </c>
      <c r="E128">
        <v>1</v>
      </c>
      <c r="F128">
        <v>900</v>
      </c>
      <c r="G128">
        <v>2</v>
      </c>
      <c r="H128">
        <v>0.5</v>
      </c>
      <c r="I128" t="e">
        <v>#NAME?</v>
      </c>
      <c r="J128">
        <v>1</v>
      </c>
      <c r="K128" t="e">
        <v>#NAME?</v>
      </c>
      <c r="L128">
        <v>2</v>
      </c>
      <c r="M128">
        <v>2</v>
      </c>
      <c r="N128">
        <v>0</v>
      </c>
      <c r="O128">
        <v>0.88590580224990845</v>
      </c>
      <c r="P128">
        <v>1</v>
      </c>
      <c r="Q128">
        <v>8.3333333333333329E-2</v>
      </c>
      <c r="R128">
        <v>0.1</v>
      </c>
      <c r="S128">
        <f t="shared" si="3"/>
        <v>0.88590580224990845</v>
      </c>
      <c r="T128">
        <f t="shared" si="4"/>
        <v>1</v>
      </c>
      <c r="U128">
        <f t="shared" si="5"/>
        <v>3600</v>
      </c>
    </row>
    <row r="129" spans="2:21" x14ac:dyDescent="0.25">
      <c r="B129" t="s">
        <v>1</v>
      </c>
      <c r="C129" t="s">
        <v>6</v>
      </c>
      <c r="D129" s="1">
        <v>0.85416666666666663</v>
      </c>
      <c r="E129">
        <v>0</v>
      </c>
      <c r="F129">
        <v>0</v>
      </c>
      <c r="G129">
        <v>2</v>
      </c>
      <c r="H129">
        <v>0</v>
      </c>
      <c r="I129" t="e">
        <v>#NAME?</v>
      </c>
      <c r="J129">
        <v>1</v>
      </c>
      <c r="K129" t="e">
        <v>#NAME?</v>
      </c>
      <c r="L129">
        <v>2</v>
      </c>
      <c r="M129">
        <v>2</v>
      </c>
      <c r="N129">
        <v>0</v>
      </c>
      <c r="O129" t="s">
        <v>72</v>
      </c>
      <c r="P129" t="s">
        <v>72</v>
      </c>
      <c r="Q129">
        <v>0</v>
      </c>
      <c r="R129">
        <v>0.1</v>
      </c>
      <c r="S129" t="str">
        <f t="shared" si="3"/>
        <v/>
      </c>
      <c r="T129" t="str">
        <f t="shared" si="4"/>
        <v/>
      </c>
      <c r="U129">
        <f t="shared" si="5"/>
        <v>3600</v>
      </c>
    </row>
    <row r="130" spans="2:21" x14ac:dyDescent="0.25">
      <c r="B130" t="s">
        <v>1</v>
      </c>
      <c r="C130" t="s">
        <v>6</v>
      </c>
      <c r="D130" s="1">
        <v>0.875</v>
      </c>
      <c r="E130">
        <v>0</v>
      </c>
      <c r="F130">
        <v>0</v>
      </c>
      <c r="G130">
        <v>2</v>
      </c>
      <c r="H130">
        <v>0</v>
      </c>
      <c r="I130" t="e">
        <v>#NAME?</v>
      </c>
      <c r="J130">
        <v>1</v>
      </c>
      <c r="K130" t="e">
        <v>#NAME?</v>
      </c>
      <c r="L130">
        <v>2</v>
      </c>
      <c r="M130">
        <v>2</v>
      </c>
      <c r="N130">
        <v>0</v>
      </c>
      <c r="O130" t="s">
        <v>72</v>
      </c>
      <c r="P130" t="s">
        <v>72</v>
      </c>
      <c r="Q130">
        <v>0</v>
      </c>
      <c r="R130">
        <v>0.1</v>
      </c>
      <c r="S130" t="str">
        <f t="shared" si="3"/>
        <v/>
      </c>
      <c r="T130" t="str">
        <f t="shared" si="4"/>
        <v/>
      </c>
      <c r="U130">
        <f t="shared" si="5"/>
        <v>3600</v>
      </c>
    </row>
    <row r="131" spans="2:21" x14ac:dyDescent="0.25">
      <c r="B131" t="s">
        <v>1</v>
      </c>
      <c r="C131" t="s">
        <v>6</v>
      </c>
      <c r="D131" s="1">
        <v>0.89583333333333337</v>
      </c>
      <c r="E131">
        <v>0</v>
      </c>
      <c r="F131">
        <v>0</v>
      </c>
      <c r="G131">
        <v>2</v>
      </c>
      <c r="H131">
        <v>0</v>
      </c>
      <c r="I131" t="e">
        <v>#NAME?</v>
      </c>
      <c r="J131">
        <v>1</v>
      </c>
      <c r="K131" t="e">
        <v>#NAME?</v>
      </c>
      <c r="L131">
        <v>2</v>
      </c>
      <c r="M131">
        <v>2</v>
      </c>
      <c r="N131">
        <v>0</v>
      </c>
      <c r="O131" t="s">
        <v>72</v>
      </c>
      <c r="P131" t="s">
        <v>72</v>
      </c>
      <c r="Q131">
        <v>0</v>
      </c>
      <c r="R131">
        <v>0.1</v>
      </c>
      <c r="S131" t="str">
        <f t="shared" si="3"/>
        <v/>
      </c>
      <c r="T131" t="str">
        <f t="shared" si="4"/>
        <v/>
      </c>
      <c r="U131">
        <f t="shared" si="5"/>
        <v>3600</v>
      </c>
    </row>
    <row r="132" spans="2:21" x14ac:dyDescent="0.25">
      <c r="B132" t="s">
        <v>1</v>
      </c>
      <c r="C132" t="s">
        <v>7</v>
      </c>
      <c r="D132" s="1">
        <v>0.25</v>
      </c>
      <c r="E132">
        <v>1</v>
      </c>
      <c r="F132">
        <v>900</v>
      </c>
      <c r="G132">
        <v>2</v>
      </c>
      <c r="H132">
        <v>0.5</v>
      </c>
      <c r="I132" t="e">
        <v>#NAME?</v>
      </c>
      <c r="J132">
        <v>1</v>
      </c>
      <c r="K132" t="e">
        <v>#NAME?</v>
      </c>
      <c r="L132">
        <v>2</v>
      </c>
      <c r="M132">
        <v>2</v>
      </c>
      <c r="N132">
        <v>0</v>
      </c>
      <c r="O132">
        <v>0.88590580224990845</v>
      </c>
      <c r="P132">
        <v>1</v>
      </c>
      <c r="Q132">
        <v>8.3333333333333329E-2</v>
      </c>
      <c r="R132">
        <v>0.1</v>
      </c>
      <c r="S132">
        <f t="shared" si="3"/>
        <v>0.88590580224990845</v>
      </c>
      <c r="T132">
        <f t="shared" si="4"/>
        <v>1</v>
      </c>
      <c r="U132">
        <f t="shared" si="5"/>
        <v>3600</v>
      </c>
    </row>
    <row r="133" spans="2:21" x14ac:dyDescent="0.25">
      <c r="B133" t="s">
        <v>1</v>
      </c>
      <c r="C133" t="s">
        <v>7</v>
      </c>
      <c r="D133" s="1">
        <v>0.27083333333333331</v>
      </c>
      <c r="E133">
        <v>1</v>
      </c>
      <c r="F133">
        <v>900</v>
      </c>
      <c r="G133">
        <v>2</v>
      </c>
      <c r="H133">
        <v>0.5</v>
      </c>
      <c r="I133" t="e">
        <v>#NAME?</v>
      </c>
      <c r="J133">
        <v>1</v>
      </c>
      <c r="K133" t="e">
        <v>#NAME?</v>
      </c>
      <c r="L133">
        <v>2</v>
      </c>
      <c r="M133">
        <v>2</v>
      </c>
      <c r="N133">
        <v>0</v>
      </c>
      <c r="O133">
        <v>0.88590580224990845</v>
      </c>
      <c r="P133">
        <v>1</v>
      </c>
      <c r="Q133">
        <v>8.3333333333333329E-2</v>
      </c>
      <c r="R133">
        <v>0.1</v>
      </c>
      <c r="S133">
        <f t="shared" ref="S133:S196" si="6">IFERROR(O133*E133,"")</f>
        <v>0.88590580224990845</v>
      </c>
      <c r="T133">
        <f t="shared" ref="T133:T196" si="7">IFERROR(P133*E133,"")</f>
        <v>1</v>
      </c>
      <c r="U133">
        <f t="shared" ref="U133:U196" si="8">+M133*1800</f>
        <v>3600</v>
      </c>
    </row>
    <row r="134" spans="2:21" x14ac:dyDescent="0.25">
      <c r="B134" t="s">
        <v>1</v>
      </c>
      <c r="C134" t="s">
        <v>7</v>
      </c>
      <c r="D134" s="1">
        <v>0.29166666666666669</v>
      </c>
      <c r="E134">
        <v>1</v>
      </c>
      <c r="F134">
        <v>900</v>
      </c>
      <c r="G134">
        <v>2</v>
      </c>
      <c r="H134">
        <v>0.5</v>
      </c>
      <c r="I134" t="e">
        <v>#NAME?</v>
      </c>
      <c r="J134">
        <v>1</v>
      </c>
      <c r="K134" t="e">
        <v>#NAME?</v>
      </c>
      <c r="L134">
        <v>2</v>
      </c>
      <c r="M134">
        <v>2</v>
      </c>
      <c r="N134">
        <v>0</v>
      </c>
      <c r="O134">
        <v>0.88590580224990845</v>
      </c>
      <c r="P134">
        <v>1</v>
      </c>
      <c r="Q134">
        <v>8.3333333333333329E-2</v>
      </c>
      <c r="R134">
        <v>0.1</v>
      </c>
      <c r="S134">
        <f t="shared" si="6"/>
        <v>0.88590580224990845</v>
      </c>
      <c r="T134">
        <f t="shared" si="7"/>
        <v>1</v>
      </c>
      <c r="U134">
        <f t="shared" si="8"/>
        <v>3600</v>
      </c>
    </row>
    <row r="135" spans="2:21" x14ac:dyDescent="0.25">
      <c r="B135" t="s">
        <v>1</v>
      </c>
      <c r="C135" t="s">
        <v>7</v>
      </c>
      <c r="D135" s="1">
        <v>0.3125</v>
      </c>
      <c r="E135">
        <v>6</v>
      </c>
      <c r="F135">
        <v>900</v>
      </c>
      <c r="G135">
        <v>2</v>
      </c>
      <c r="H135">
        <v>3</v>
      </c>
      <c r="I135" t="e">
        <v>#NAME?</v>
      </c>
      <c r="J135">
        <v>3</v>
      </c>
      <c r="K135" t="e">
        <v>#NAME?</v>
      </c>
      <c r="L135">
        <v>4</v>
      </c>
      <c r="M135">
        <v>2</v>
      </c>
      <c r="N135">
        <v>-2</v>
      </c>
      <c r="O135">
        <v>0.45047307014465332</v>
      </c>
      <c r="P135">
        <v>1</v>
      </c>
      <c r="Q135">
        <v>0.5</v>
      </c>
      <c r="R135">
        <v>0.1</v>
      </c>
      <c r="S135">
        <f t="shared" si="6"/>
        <v>2.7028384208679199</v>
      </c>
      <c r="T135">
        <f t="shared" si="7"/>
        <v>6</v>
      </c>
      <c r="U135">
        <f t="shared" si="8"/>
        <v>3600</v>
      </c>
    </row>
    <row r="136" spans="2:21" x14ac:dyDescent="0.25">
      <c r="B136" t="s">
        <v>1</v>
      </c>
      <c r="C136" t="s">
        <v>7</v>
      </c>
      <c r="D136" s="1">
        <v>0.33333333333333331</v>
      </c>
      <c r="E136">
        <v>16</v>
      </c>
      <c r="F136">
        <v>900</v>
      </c>
      <c r="G136">
        <v>2</v>
      </c>
      <c r="H136">
        <v>8</v>
      </c>
      <c r="I136" t="e">
        <v>#NAME?</v>
      </c>
      <c r="J136">
        <v>5</v>
      </c>
      <c r="K136" t="e">
        <v>#NAME?</v>
      </c>
      <c r="L136">
        <v>6</v>
      </c>
      <c r="M136">
        <v>5</v>
      </c>
      <c r="N136">
        <v>-1</v>
      </c>
      <c r="O136">
        <v>0.84931617975234985</v>
      </c>
      <c r="P136">
        <v>1</v>
      </c>
      <c r="Q136">
        <v>0.53333333333333333</v>
      </c>
      <c r="R136">
        <v>0.1</v>
      </c>
      <c r="S136">
        <f t="shared" si="6"/>
        <v>13.589058876037598</v>
      </c>
      <c r="T136">
        <f t="shared" si="7"/>
        <v>16</v>
      </c>
      <c r="U136">
        <f t="shared" si="8"/>
        <v>9000</v>
      </c>
    </row>
    <row r="137" spans="2:21" x14ac:dyDescent="0.25">
      <c r="B137" t="s">
        <v>1</v>
      </c>
      <c r="C137" t="s">
        <v>7</v>
      </c>
      <c r="D137" s="1">
        <v>0.35416666666666669</v>
      </c>
      <c r="E137">
        <v>20</v>
      </c>
      <c r="F137">
        <v>900</v>
      </c>
      <c r="G137">
        <v>2</v>
      </c>
      <c r="H137">
        <v>10</v>
      </c>
      <c r="I137" t="e">
        <v>#NAME?</v>
      </c>
      <c r="J137">
        <v>6</v>
      </c>
      <c r="K137" t="e">
        <v>#NAME?</v>
      </c>
      <c r="L137">
        <v>7</v>
      </c>
      <c r="M137">
        <v>4.5</v>
      </c>
      <c r="N137">
        <v>-2.5</v>
      </c>
      <c r="O137">
        <v>0.69523805379867554</v>
      </c>
      <c r="P137">
        <v>0.97999999999999976</v>
      </c>
      <c r="Q137">
        <v>0.7407407407407407</v>
      </c>
      <c r="R137">
        <v>0.1</v>
      </c>
      <c r="S137">
        <f t="shared" si="6"/>
        <v>13.904761075973511</v>
      </c>
      <c r="T137">
        <f t="shared" si="7"/>
        <v>19.599999999999994</v>
      </c>
      <c r="U137">
        <f t="shared" si="8"/>
        <v>8100</v>
      </c>
    </row>
    <row r="138" spans="2:21" x14ac:dyDescent="0.25">
      <c r="B138" t="s">
        <v>1</v>
      </c>
      <c r="C138" t="s">
        <v>7</v>
      </c>
      <c r="D138" s="1">
        <v>0.375</v>
      </c>
      <c r="E138">
        <v>25</v>
      </c>
      <c r="F138">
        <v>900</v>
      </c>
      <c r="G138">
        <v>2</v>
      </c>
      <c r="H138">
        <v>12.5</v>
      </c>
      <c r="I138" t="e">
        <v>#NAME?</v>
      </c>
      <c r="J138">
        <v>7</v>
      </c>
      <c r="K138" t="e">
        <v>#NAME?</v>
      </c>
      <c r="L138">
        <v>8</v>
      </c>
      <c r="M138">
        <v>6</v>
      </c>
      <c r="N138">
        <v>-2</v>
      </c>
      <c r="O138">
        <v>0.76612180471420288</v>
      </c>
      <c r="P138">
        <v>0.89599999999999991</v>
      </c>
      <c r="Q138">
        <v>0.69444444444444442</v>
      </c>
      <c r="R138">
        <v>0.1</v>
      </c>
      <c r="S138">
        <f t="shared" si="6"/>
        <v>19.153045117855072</v>
      </c>
      <c r="T138">
        <f t="shared" si="7"/>
        <v>22.4</v>
      </c>
      <c r="U138">
        <f t="shared" si="8"/>
        <v>10800</v>
      </c>
    </row>
    <row r="139" spans="2:21" x14ac:dyDescent="0.25">
      <c r="B139" t="s">
        <v>1</v>
      </c>
      <c r="C139" t="s">
        <v>7</v>
      </c>
      <c r="D139" s="1">
        <v>0.39583333333333331</v>
      </c>
      <c r="E139">
        <v>22</v>
      </c>
      <c r="F139">
        <v>900</v>
      </c>
      <c r="G139">
        <v>2</v>
      </c>
      <c r="H139">
        <v>11</v>
      </c>
      <c r="I139" t="e">
        <v>#NAME?</v>
      </c>
      <c r="J139">
        <v>6</v>
      </c>
      <c r="K139" t="e">
        <v>#NAME?</v>
      </c>
      <c r="L139">
        <v>7</v>
      </c>
      <c r="M139">
        <v>5.5</v>
      </c>
      <c r="N139">
        <v>-1.5</v>
      </c>
      <c r="O139">
        <v>0.68788778781890869</v>
      </c>
      <c r="P139">
        <v>0.89090909090909065</v>
      </c>
      <c r="Q139">
        <v>0.66666666666666663</v>
      </c>
      <c r="R139">
        <v>0.1</v>
      </c>
      <c r="S139">
        <f t="shared" si="6"/>
        <v>15.133531332015991</v>
      </c>
      <c r="T139">
        <f t="shared" si="7"/>
        <v>19.599999999999994</v>
      </c>
      <c r="U139">
        <f t="shared" si="8"/>
        <v>9900</v>
      </c>
    </row>
    <row r="140" spans="2:21" x14ac:dyDescent="0.25">
      <c r="B140" t="s">
        <v>1</v>
      </c>
      <c r="C140" t="s">
        <v>7</v>
      </c>
      <c r="D140" s="1">
        <v>0.41666666666666669</v>
      </c>
      <c r="E140">
        <v>23</v>
      </c>
      <c r="F140">
        <v>900</v>
      </c>
      <c r="G140">
        <v>2</v>
      </c>
      <c r="H140">
        <v>11.5</v>
      </c>
      <c r="I140" t="e">
        <v>#NAME?</v>
      </c>
      <c r="J140">
        <v>7</v>
      </c>
      <c r="K140" t="e">
        <v>#NAME?</v>
      </c>
      <c r="L140">
        <v>8</v>
      </c>
      <c r="M140">
        <v>6</v>
      </c>
      <c r="N140">
        <v>-2</v>
      </c>
      <c r="O140">
        <v>0.81930416822433472</v>
      </c>
      <c r="P140">
        <v>0.9739130434782608</v>
      </c>
      <c r="Q140">
        <v>0.63888888888888884</v>
      </c>
      <c r="R140">
        <v>0.1</v>
      </c>
      <c r="S140">
        <f t="shared" si="6"/>
        <v>18.843995869159698</v>
      </c>
      <c r="T140">
        <f t="shared" si="7"/>
        <v>22.4</v>
      </c>
      <c r="U140">
        <f t="shared" si="8"/>
        <v>10800</v>
      </c>
    </row>
    <row r="141" spans="2:21" x14ac:dyDescent="0.25">
      <c r="B141" t="s">
        <v>1</v>
      </c>
      <c r="C141" t="s">
        <v>7</v>
      </c>
      <c r="D141" s="1">
        <v>0.4375</v>
      </c>
      <c r="E141">
        <v>21</v>
      </c>
      <c r="F141">
        <v>900</v>
      </c>
      <c r="G141">
        <v>2</v>
      </c>
      <c r="H141">
        <v>10.5</v>
      </c>
      <c r="I141" t="e">
        <v>#NAME?</v>
      </c>
      <c r="J141">
        <v>6</v>
      </c>
      <c r="K141" t="e">
        <v>#NAME?</v>
      </c>
      <c r="L141">
        <v>7</v>
      </c>
      <c r="M141">
        <v>6.5</v>
      </c>
      <c r="N141">
        <v>-0.5</v>
      </c>
      <c r="O141">
        <v>0.87425965070724487</v>
      </c>
      <c r="P141">
        <v>0.93333333333333302</v>
      </c>
      <c r="Q141">
        <v>0.53846153846153844</v>
      </c>
      <c r="R141">
        <v>0.1</v>
      </c>
      <c r="S141">
        <f t="shared" si="6"/>
        <v>18.359452664852142</v>
      </c>
      <c r="T141">
        <f t="shared" si="7"/>
        <v>19.599999999999994</v>
      </c>
      <c r="U141">
        <f t="shared" si="8"/>
        <v>11700</v>
      </c>
    </row>
    <row r="142" spans="2:21" x14ac:dyDescent="0.25">
      <c r="B142" t="s">
        <v>1</v>
      </c>
      <c r="C142" t="s">
        <v>7</v>
      </c>
      <c r="D142" s="1">
        <v>0.45833333333333331</v>
      </c>
      <c r="E142">
        <v>26</v>
      </c>
      <c r="F142">
        <v>900</v>
      </c>
      <c r="G142">
        <v>2</v>
      </c>
      <c r="H142">
        <v>13</v>
      </c>
      <c r="I142" t="e">
        <v>#NAME?</v>
      </c>
      <c r="J142">
        <v>7</v>
      </c>
      <c r="K142" t="e">
        <v>#NAME?</v>
      </c>
      <c r="L142">
        <v>8</v>
      </c>
      <c r="M142">
        <v>8</v>
      </c>
      <c r="N142">
        <v>0</v>
      </c>
      <c r="O142">
        <v>0.9510987401008606</v>
      </c>
      <c r="P142">
        <v>0.86153846153846148</v>
      </c>
      <c r="Q142">
        <v>0.54166666666666663</v>
      </c>
      <c r="R142">
        <v>0.1</v>
      </c>
      <c r="S142">
        <f t="shared" si="6"/>
        <v>24.728567242622375</v>
      </c>
      <c r="T142">
        <f t="shared" si="7"/>
        <v>22.4</v>
      </c>
      <c r="U142">
        <f t="shared" si="8"/>
        <v>14400</v>
      </c>
    </row>
    <row r="143" spans="2:21" x14ac:dyDescent="0.25">
      <c r="B143" t="s">
        <v>1</v>
      </c>
      <c r="C143" t="s">
        <v>7</v>
      </c>
      <c r="D143" s="1">
        <v>0.47916666666666669</v>
      </c>
      <c r="E143">
        <v>22</v>
      </c>
      <c r="F143">
        <v>900</v>
      </c>
      <c r="G143">
        <v>2</v>
      </c>
      <c r="H143">
        <v>11</v>
      </c>
      <c r="I143" t="e">
        <v>#NAME?</v>
      </c>
      <c r="J143">
        <v>6</v>
      </c>
      <c r="K143" t="e">
        <v>#NAME?</v>
      </c>
      <c r="L143">
        <v>7</v>
      </c>
      <c r="M143">
        <v>7</v>
      </c>
      <c r="N143">
        <v>0</v>
      </c>
      <c r="O143">
        <v>0.9374769926071167</v>
      </c>
      <c r="P143">
        <v>0.89090909090909065</v>
      </c>
      <c r="Q143">
        <v>0.52380952380952384</v>
      </c>
      <c r="R143">
        <v>0.1</v>
      </c>
      <c r="S143">
        <f t="shared" si="6"/>
        <v>20.624493837356567</v>
      </c>
      <c r="T143">
        <f t="shared" si="7"/>
        <v>19.599999999999994</v>
      </c>
      <c r="U143">
        <f t="shared" si="8"/>
        <v>12600</v>
      </c>
    </row>
    <row r="144" spans="2:21" x14ac:dyDescent="0.25">
      <c r="B144" t="s">
        <v>1</v>
      </c>
      <c r="C144" t="s">
        <v>7</v>
      </c>
      <c r="D144" s="1">
        <v>0.5</v>
      </c>
      <c r="E144">
        <v>9</v>
      </c>
      <c r="F144">
        <v>900</v>
      </c>
      <c r="G144">
        <v>2</v>
      </c>
      <c r="H144">
        <v>4.5</v>
      </c>
      <c r="I144" t="e">
        <v>#NAME?</v>
      </c>
      <c r="J144">
        <v>4</v>
      </c>
      <c r="K144" t="e">
        <v>#NAME?</v>
      </c>
      <c r="L144">
        <v>5</v>
      </c>
      <c r="M144">
        <v>6</v>
      </c>
      <c r="N144">
        <v>1</v>
      </c>
      <c r="O144">
        <v>0.99440097808837891</v>
      </c>
      <c r="P144">
        <v>1</v>
      </c>
      <c r="Q144">
        <v>0.25</v>
      </c>
      <c r="R144">
        <v>0.1</v>
      </c>
      <c r="S144">
        <f t="shared" si="6"/>
        <v>8.9496088027954102</v>
      </c>
      <c r="T144">
        <f t="shared" si="7"/>
        <v>9</v>
      </c>
      <c r="U144">
        <f t="shared" si="8"/>
        <v>10800</v>
      </c>
    </row>
    <row r="145" spans="2:21" x14ac:dyDescent="0.25">
      <c r="B145" t="s">
        <v>1</v>
      </c>
      <c r="C145" t="s">
        <v>7</v>
      </c>
      <c r="D145" s="1">
        <v>0.52083333333333337</v>
      </c>
      <c r="E145">
        <v>10</v>
      </c>
      <c r="F145">
        <v>900</v>
      </c>
      <c r="G145">
        <v>2</v>
      </c>
      <c r="H145">
        <v>5</v>
      </c>
      <c r="I145" t="e">
        <v>#NAME?</v>
      </c>
      <c r="J145">
        <v>4</v>
      </c>
      <c r="K145" t="e">
        <v>#NAME?</v>
      </c>
      <c r="L145">
        <v>5</v>
      </c>
      <c r="M145">
        <v>6</v>
      </c>
      <c r="N145">
        <v>1</v>
      </c>
      <c r="O145">
        <v>0.99135750532150269</v>
      </c>
      <c r="P145">
        <v>1</v>
      </c>
      <c r="Q145">
        <v>0.27777777777777779</v>
      </c>
      <c r="R145">
        <v>0.1</v>
      </c>
      <c r="S145">
        <f t="shared" si="6"/>
        <v>9.9135750532150269</v>
      </c>
      <c r="T145">
        <f t="shared" si="7"/>
        <v>10</v>
      </c>
      <c r="U145">
        <f t="shared" si="8"/>
        <v>10800</v>
      </c>
    </row>
    <row r="146" spans="2:21" x14ac:dyDescent="0.25">
      <c r="B146" t="s">
        <v>1</v>
      </c>
      <c r="C146" t="s">
        <v>7</v>
      </c>
      <c r="D146" s="1">
        <v>0.54166666666666663</v>
      </c>
      <c r="E146">
        <v>11</v>
      </c>
      <c r="F146">
        <v>900</v>
      </c>
      <c r="G146">
        <v>2</v>
      </c>
      <c r="H146">
        <v>5.5</v>
      </c>
      <c r="I146" t="e">
        <v>#NAME?</v>
      </c>
      <c r="J146">
        <v>4</v>
      </c>
      <c r="K146" t="e">
        <v>#NAME?</v>
      </c>
      <c r="L146">
        <v>5</v>
      </c>
      <c r="M146">
        <v>5</v>
      </c>
      <c r="N146">
        <v>0</v>
      </c>
      <c r="O146">
        <v>0.94957733154296875</v>
      </c>
      <c r="P146">
        <v>1</v>
      </c>
      <c r="Q146">
        <v>0.36666666666666664</v>
      </c>
      <c r="R146">
        <v>0.1</v>
      </c>
      <c r="S146">
        <f t="shared" si="6"/>
        <v>10.445350646972656</v>
      </c>
      <c r="T146">
        <f t="shared" si="7"/>
        <v>11</v>
      </c>
      <c r="U146">
        <f t="shared" si="8"/>
        <v>9000</v>
      </c>
    </row>
    <row r="147" spans="2:21" x14ac:dyDescent="0.25">
      <c r="B147" t="s">
        <v>1</v>
      </c>
      <c r="C147" t="s">
        <v>7</v>
      </c>
      <c r="D147" s="1">
        <v>0.5625</v>
      </c>
      <c r="E147">
        <v>11</v>
      </c>
      <c r="F147">
        <v>900</v>
      </c>
      <c r="G147">
        <v>2</v>
      </c>
      <c r="H147">
        <v>5.5</v>
      </c>
      <c r="I147" t="e">
        <v>#NAME?</v>
      </c>
      <c r="J147">
        <v>4</v>
      </c>
      <c r="K147" t="e">
        <v>#NAME?</v>
      </c>
      <c r="L147">
        <v>5</v>
      </c>
      <c r="M147">
        <v>5</v>
      </c>
      <c r="N147">
        <v>0</v>
      </c>
      <c r="O147">
        <v>0.94957733154296875</v>
      </c>
      <c r="P147">
        <v>1</v>
      </c>
      <c r="Q147">
        <v>0.36666666666666664</v>
      </c>
      <c r="R147">
        <v>0.1</v>
      </c>
      <c r="S147">
        <f t="shared" si="6"/>
        <v>10.445350646972656</v>
      </c>
      <c r="T147">
        <f t="shared" si="7"/>
        <v>11</v>
      </c>
      <c r="U147">
        <f t="shared" si="8"/>
        <v>9000</v>
      </c>
    </row>
    <row r="148" spans="2:21" x14ac:dyDescent="0.25">
      <c r="B148" t="s">
        <v>1</v>
      </c>
      <c r="C148" t="s">
        <v>7</v>
      </c>
      <c r="D148" s="1">
        <v>0.58333333333333337</v>
      </c>
      <c r="E148">
        <v>21</v>
      </c>
      <c r="F148">
        <v>900</v>
      </c>
      <c r="G148">
        <v>2</v>
      </c>
      <c r="H148">
        <v>10.5</v>
      </c>
      <c r="I148" t="e">
        <v>#NAME?</v>
      </c>
      <c r="J148">
        <v>6</v>
      </c>
      <c r="K148" t="e">
        <v>#NAME?</v>
      </c>
      <c r="L148">
        <v>7</v>
      </c>
      <c r="M148">
        <v>6</v>
      </c>
      <c r="N148">
        <v>-1</v>
      </c>
      <c r="O148">
        <v>0.86508065462112427</v>
      </c>
      <c r="P148">
        <v>0.93333333333333302</v>
      </c>
      <c r="Q148">
        <v>0.58333333333333337</v>
      </c>
      <c r="R148">
        <v>0.1</v>
      </c>
      <c r="S148">
        <f t="shared" si="6"/>
        <v>18.16669374704361</v>
      </c>
      <c r="T148">
        <f t="shared" si="7"/>
        <v>19.599999999999994</v>
      </c>
      <c r="U148">
        <f t="shared" si="8"/>
        <v>10800</v>
      </c>
    </row>
    <row r="149" spans="2:21" x14ac:dyDescent="0.25">
      <c r="B149" t="s">
        <v>1</v>
      </c>
      <c r="C149" t="s">
        <v>7</v>
      </c>
      <c r="D149" s="1">
        <v>0.60416666666666663</v>
      </c>
      <c r="E149">
        <v>23</v>
      </c>
      <c r="F149">
        <v>900</v>
      </c>
      <c r="G149">
        <v>2</v>
      </c>
      <c r="H149">
        <v>11.5</v>
      </c>
      <c r="I149" t="e">
        <v>#NAME?</v>
      </c>
      <c r="J149">
        <v>7</v>
      </c>
      <c r="K149" t="e">
        <v>#NAME?</v>
      </c>
      <c r="L149">
        <v>8</v>
      </c>
      <c r="M149">
        <v>7</v>
      </c>
      <c r="N149">
        <v>-1</v>
      </c>
      <c r="O149">
        <v>0.92528694868087769</v>
      </c>
      <c r="P149">
        <v>0.9739130434782608</v>
      </c>
      <c r="Q149">
        <v>0.54761904761904767</v>
      </c>
      <c r="R149">
        <v>0.1</v>
      </c>
      <c r="S149">
        <f t="shared" si="6"/>
        <v>21.281599819660187</v>
      </c>
      <c r="T149">
        <f t="shared" si="7"/>
        <v>22.4</v>
      </c>
      <c r="U149">
        <f t="shared" si="8"/>
        <v>12600</v>
      </c>
    </row>
    <row r="150" spans="2:21" x14ac:dyDescent="0.25">
      <c r="B150" t="s">
        <v>1</v>
      </c>
      <c r="C150" t="s">
        <v>7</v>
      </c>
      <c r="D150" s="1">
        <v>0.625</v>
      </c>
      <c r="E150">
        <v>25</v>
      </c>
      <c r="F150">
        <v>900</v>
      </c>
      <c r="G150">
        <v>2</v>
      </c>
      <c r="H150">
        <v>12.5</v>
      </c>
      <c r="I150" t="e">
        <v>#NAME?</v>
      </c>
      <c r="J150">
        <v>7</v>
      </c>
      <c r="K150" t="e">
        <v>#NAME?</v>
      </c>
      <c r="L150">
        <v>8</v>
      </c>
      <c r="M150">
        <v>6.5</v>
      </c>
      <c r="N150">
        <v>-1.5</v>
      </c>
      <c r="O150">
        <v>0.78553527593612671</v>
      </c>
      <c r="P150">
        <v>0.89599999999999991</v>
      </c>
      <c r="Q150">
        <v>0.64102564102564108</v>
      </c>
      <c r="R150">
        <v>0.1</v>
      </c>
      <c r="S150">
        <f t="shared" si="6"/>
        <v>19.638381898403168</v>
      </c>
      <c r="T150">
        <f t="shared" si="7"/>
        <v>22.4</v>
      </c>
      <c r="U150">
        <f t="shared" si="8"/>
        <v>11700</v>
      </c>
    </row>
    <row r="151" spans="2:21" x14ac:dyDescent="0.25">
      <c r="B151" t="s">
        <v>1</v>
      </c>
      <c r="C151" t="s">
        <v>7</v>
      </c>
      <c r="D151" s="1">
        <v>0.64583333333333337</v>
      </c>
      <c r="E151">
        <v>16</v>
      </c>
      <c r="F151">
        <v>900</v>
      </c>
      <c r="G151">
        <v>2</v>
      </c>
      <c r="H151">
        <v>8</v>
      </c>
      <c r="I151" t="e">
        <v>#NAME?</v>
      </c>
      <c r="J151">
        <v>5</v>
      </c>
      <c r="K151" t="e">
        <v>#NAME?</v>
      </c>
      <c r="L151">
        <v>6</v>
      </c>
      <c r="M151">
        <v>6.5</v>
      </c>
      <c r="N151">
        <v>0.5</v>
      </c>
      <c r="O151">
        <v>0.94976907968521118</v>
      </c>
      <c r="P151">
        <v>1</v>
      </c>
      <c r="Q151">
        <v>0.41025641025641024</v>
      </c>
      <c r="R151">
        <v>0.1</v>
      </c>
      <c r="S151">
        <f t="shared" si="6"/>
        <v>15.196305274963379</v>
      </c>
      <c r="T151">
        <f t="shared" si="7"/>
        <v>16</v>
      </c>
      <c r="U151">
        <f t="shared" si="8"/>
        <v>11700</v>
      </c>
    </row>
    <row r="152" spans="2:21" x14ac:dyDescent="0.25">
      <c r="B152" t="s">
        <v>1</v>
      </c>
      <c r="C152" t="s">
        <v>7</v>
      </c>
      <c r="D152" s="1">
        <v>0.66666666666666663</v>
      </c>
      <c r="E152">
        <v>19</v>
      </c>
      <c r="F152">
        <v>900</v>
      </c>
      <c r="G152">
        <v>2</v>
      </c>
      <c r="H152">
        <v>9.5</v>
      </c>
      <c r="I152" t="e">
        <v>#NAME?</v>
      </c>
      <c r="J152">
        <v>6</v>
      </c>
      <c r="K152" t="e">
        <v>#NAME?</v>
      </c>
      <c r="L152">
        <v>7</v>
      </c>
      <c r="M152">
        <v>6.5</v>
      </c>
      <c r="N152">
        <v>-0.5</v>
      </c>
      <c r="O152">
        <v>0.90925532579421997</v>
      </c>
      <c r="P152">
        <v>1</v>
      </c>
      <c r="Q152">
        <v>0.48717948717948717</v>
      </c>
      <c r="R152">
        <v>0.1</v>
      </c>
      <c r="S152">
        <f t="shared" si="6"/>
        <v>17.275851190090179</v>
      </c>
      <c r="T152">
        <f t="shared" si="7"/>
        <v>19</v>
      </c>
      <c r="U152">
        <f t="shared" si="8"/>
        <v>11700</v>
      </c>
    </row>
    <row r="153" spans="2:21" x14ac:dyDescent="0.25">
      <c r="B153" t="s">
        <v>1</v>
      </c>
      <c r="C153" t="s">
        <v>7</v>
      </c>
      <c r="D153" s="1">
        <v>0.6875</v>
      </c>
      <c r="E153">
        <v>16</v>
      </c>
      <c r="F153">
        <v>900</v>
      </c>
      <c r="G153">
        <v>2</v>
      </c>
      <c r="H153">
        <v>8</v>
      </c>
      <c r="I153" t="e">
        <v>#NAME?</v>
      </c>
      <c r="J153">
        <v>5</v>
      </c>
      <c r="K153" t="e">
        <v>#NAME?</v>
      </c>
      <c r="L153">
        <v>6</v>
      </c>
      <c r="M153">
        <v>6.5</v>
      </c>
      <c r="N153">
        <v>0.5</v>
      </c>
      <c r="O153">
        <v>0.94976907968521118</v>
      </c>
      <c r="P153">
        <v>1</v>
      </c>
      <c r="Q153">
        <v>0.41025641025641024</v>
      </c>
      <c r="R153">
        <v>0.1</v>
      </c>
      <c r="S153">
        <f t="shared" si="6"/>
        <v>15.196305274963379</v>
      </c>
      <c r="T153">
        <f t="shared" si="7"/>
        <v>16</v>
      </c>
      <c r="U153">
        <f t="shared" si="8"/>
        <v>11700</v>
      </c>
    </row>
    <row r="154" spans="2:21" x14ac:dyDescent="0.25">
      <c r="B154" t="s">
        <v>1</v>
      </c>
      <c r="C154" t="s">
        <v>7</v>
      </c>
      <c r="D154" s="1">
        <v>0.70833333333333337</v>
      </c>
      <c r="E154">
        <v>9</v>
      </c>
      <c r="F154">
        <v>900</v>
      </c>
      <c r="G154">
        <v>2</v>
      </c>
      <c r="H154">
        <v>4.5</v>
      </c>
      <c r="I154" t="e">
        <v>#NAME?</v>
      </c>
      <c r="J154">
        <v>4</v>
      </c>
      <c r="K154" t="e">
        <v>#NAME?</v>
      </c>
      <c r="L154">
        <v>5</v>
      </c>
      <c r="M154">
        <v>4</v>
      </c>
      <c r="N154">
        <v>-1</v>
      </c>
      <c r="O154">
        <v>0.89471465349197388</v>
      </c>
      <c r="P154">
        <v>1</v>
      </c>
      <c r="Q154">
        <v>0.375</v>
      </c>
      <c r="R154">
        <v>0.1</v>
      </c>
      <c r="S154">
        <f t="shared" si="6"/>
        <v>8.0524318814277649</v>
      </c>
      <c r="T154">
        <f t="shared" si="7"/>
        <v>9</v>
      </c>
      <c r="U154">
        <f t="shared" si="8"/>
        <v>7200</v>
      </c>
    </row>
    <row r="155" spans="2:21" x14ac:dyDescent="0.25">
      <c r="B155" t="s">
        <v>1</v>
      </c>
      <c r="C155" t="s">
        <v>7</v>
      </c>
      <c r="D155" s="1">
        <v>0.72916666666666663</v>
      </c>
      <c r="E155">
        <v>11</v>
      </c>
      <c r="F155">
        <v>900</v>
      </c>
      <c r="G155">
        <v>2</v>
      </c>
      <c r="H155">
        <v>5.5</v>
      </c>
      <c r="I155" t="e">
        <v>#NAME?</v>
      </c>
      <c r="J155">
        <v>4</v>
      </c>
      <c r="K155" t="e">
        <v>#NAME?</v>
      </c>
      <c r="L155">
        <v>5</v>
      </c>
      <c r="M155">
        <v>3.5</v>
      </c>
      <c r="N155">
        <v>-1.5</v>
      </c>
      <c r="O155">
        <v>0.81924140453338623</v>
      </c>
      <c r="P155">
        <v>1</v>
      </c>
      <c r="Q155">
        <v>0.52380952380952384</v>
      </c>
      <c r="R155">
        <v>0.1</v>
      </c>
      <c r="S155">
        <f t="shared" si="6"/>
        <v>9.0116554498672485</v>
      </c>
      <c r="T155">
        <f t="shared" si="7"/>
        <v>11</v>
      </c>
      <c r="U155">
        <f t="shared" si="8"/>
        <v>6300</v>
      </c>
    </row>
    <row r="156" spans="2:21" x14ac:dyDescent="0.25">
      <c r="B156" t="s">
        <v>1</v>
      </c>
      <c r="C156" t="s">
        <v>7</v>
      </c>
      <c r="D156" s="1">
        <v>0.75</v>
      </c>
      <c r="E156">
        <v>7</v>
      </c>
      <c r="F156">
        <v>900</v>
      </c>
      <c r="G156">
        <v>2</v>
      </c>
      <c r="H156">
        <v>3.5</v>
      </c>
      <c r="I156" t="e">
        <v>#NAME?</v>
      </c>
      <c r="J156">
        <v>3</v>
      </c>
      <c r="K156" t="e">
        <v>#NAME?</v>
      </c>
      <c r="L156">
        <v>4</v>
      </c>
      <c r="M156">
        <v>2.5</v>
      </c>
      <c r="N156">
        <v>-1.5</v>
      </c>
      <c r="O156">
        <v>0.75711029767990112</v>
      </c>
      <c r="P156">
        <v>1</v>
      </c>
      <c r="Q156">
        <v>0.46666666666666667</v>
      </c>
      <c r="R156">
        <v>0.1</v>
      </c>
      <c r="S156">
        <f t="shared" si="6"/>
        <v>5.2997720837593079</v>
      </c>
      <c r="T156">
        <f t="shared" si="7"/>
        <v>7</v>
      </c>
      <c r="U156">
        <f t="shared" si="8"/>
        <v>4500</v>
      </c>
    </row>
    <row r="157" spans="2:21" x14ac:dyDescent="0.25">
      <c r="B157" t="s">
        <v>1</v>
      </c>
      <c r="C157" t="s">
        <v>7</v>
      </c>
      <c r="D157" s="1">
        <v>0.77083333333333337</v>
      </c>
      <c r="E157">
        <v>3</v>
      </c>
      <c r="F157">
        <v>900</v>
      </c>
      <c r="G157">
        <v>2</v>
      </c>
      <c r="H157">
        <v>1.5</v>
      </c>
      <c r="I157" t="e">
        <v>#NAME?</v>
      </c>
      <c r="J157">
        <v>2</v>
      </c>
      <c r="K157" t="e">
        <v>#NAME?</v>
      </c>
      <c r="L157">
        <v>3</v>
      </c>
      <c r="M157">
        <v>2.5</v>
      </c>
      <c r="N157">
        <v>-0.5</v>
      </c>
      <c r="O157">
        <v>0.94454365968704224</v>
      </c>
      <c r="P157">
        <v>1</v>
      </c>
      <c r="Q157">
        <v>0.2</v>
      </c>
      <c r="R157">
        <v>0.1</v>
      </c>
      <c r="S157">
        <f t="shared" si="6"/>
        <v>2.8336309790611267</v>
      </c>
      <c r="T157">
        <f t="shared" si="7"/>
        <v>3</v>
      </c>
      <c r="U157">
        <f t="shared" si="8"/>
        <v>4500</v>
      </c>
    </row>
    <row r="158" spans="2:21" x14ac:dyDescent="0.25">
      <c r="B158" t="s">
        <v>1</v>
      </c>
      <c r="C158" t="s">
        <v>7</v>
      </c>
      <c r="D158" s="1">
        <v>0.79166666666666663</v>
      </c>
      <c r="E158">
        <v>2</v>
      </c>
      <c r="F158">
        <v>900</v>
      </c>
      <c r="G158">
        <v>2</v>
      </c>
      <c r="H158">
        <v>1</v>
      </c>
      <c r="I158" t="e">
        <v>#NAME?</v>
      </c>
      <c r="J158">
        <v>2</v>
      </c>
      <c r="K158" t="e">
        <v>#NAME?</v>
      </c>
      <c r="L158">
        <v>3</v>
      </c>
      <c r="M158">
        <v>3</v>
      </c>
      <c r="N158">
        <v>0</v>
      </c>
      <c r="O158">
        <v>0.97460842132568359</v>
      </c>
      <c r="P158">
        <v>1</v>
      </c>
      <c r="Q158">
        <v>0.1111111111111111</v>
      </c>
      <c r="R158">
        <v>0.1</v>
      </c>
      <c r="S158">
        <f t="shared" si="6"/>
        <v>1.9492168426513672</v>
      </c>
      <c r="T158">
        <f t="shared" si="7"/>
        <v>2</v>
      </c>
      <c r="U158">
        <f t="shared" si="8"/>
        <v>5400</v>
      </c>
    </row>
    <row r="159" spans="2:21" x14ac:dyDescent="0.25">
      <c r="B159" t="s">
        <v>1</v>
      </c>
      <c r="C159" t="s">
        <v>7</v>
      </c>
      <c r="D159" s="1">
        <v>0.8125</v>
      </c>
      <c r="E159">
        <v>1</v>
      </c>
      <c r="F159">
        <v>900</v>
      </c>
      <c r="G159">
        <v>2</v>
      </c>
      <c r="H159">
        <v>0.5</v>
      </c>
      <c r="I159" t="e">
        <v>#NAME?</v>
      </c>
      <c r="J159">
        <v>1</v>
      </c>
      <c r="K159" t="e">
        <v>#NAME?</v>
      </c>
      <c r="L159">
        <v>2</v>
      </c>
      <c r="M159">
        <v>3</v>
      </c>
      <c r="N159">
        <v>1</v>
      </c>
      <c r="O159">
        <v>0.99317312240600586</v>
      </c>
      <c r="P159">
        <v>1</v>
      </c>
      <c r="Q159">
        <v>5.5555555555555552E-2</v>
      </c>
      <c r="R159">
        <v>0.1</v>
      </c>
      <c r="S159">
        <f t="shared" si="6"/>
        <v>0.99317312240600586</v>
      </c>
      <c r="T159">
        <f t="shared" si="7"/>
        <v>1</v>
      </c>
      <c r="U159">
        <f t="shared" si="8"/>
        <v>5400</v>
      </c>
    </row>
    <row r="160" spans="2:21" x14ac:dyDescent="0.25">
      <c r="B160" t="s">
        <v>1</v>
      </c>
      <c r="C160" t="s">
        <v>7</v>
      </c>
      <c r="D160" s="1">
        <v>0.83333333333333337</v>
      </c>
      <c r="E160">
        <v>0</v>
      </c>
      <c r="F160">
        <v>0</v>
      </c>
      <c r="G160">
        <v>2</v>
      </c>
      <c r="H160">
        <v>0</v>
      </c>
      <c r="I160" t="e">
        <v>#NAME?</v>
      </c>
      <c r="J160">
        <v>1</v>
      </c>
      <c r="K160" t="e">
        <v>#NAME?</v>
      </c>
      <c r="L160">
        <v>2</v>
      </c>
      <c r="M160">
        <v>2</v>
      </c>
      <c r="N160">
        <v>0</v>
      </c>
      <c r="O160" t="s">
        <v>72</v>
      </c>
      <c r="P160" t="s">
        <v>72</v>
      </c>
      <c r="Q160">
        <v>0</v>
      </c>
      <c r="R160">
        <v>0.1</v>
      </c>
      <c r="S160" t="str">
        <f t="shared" si="6"/>
        <v/>
      </c>
      <c r="T160" t="str">
        <f t="shared" si="7"/>
        <v/>
      </c>
      <c r="U160">
        <f t="shared" si="8"/>
        <v>3600</v>
      </c>
    </row>
    <row r="161" spans="2:21" x14ac:dyDescent="0.25">
      <c r="B161" t="s">
        <v>1</v>
      </c>
      <c r="C161" t="s">
        <v>7</v>
      </c>
      <c r="D161" s="1">
        <v>0.85416666666666663</v>
      </c>
      <c r="E161">
        <v>0</v>
      </c>
      <c r="F161">
        <v>0</v>
      </c>
      <c r="G161">
        <v>2</v>
      </c>
      <c r="H161">
        <v>0</v>
      </c>
      <c r="I161" t="e">
        <v>#NAME?</v>
      </c>
      <c r="J161">
        <v>1</v>
      </c>
      <c r="K161" t="e">
        <v>#NAME?</v>
      </c>
      <c r="L161">
        <v>2</v>
      </c>
      <c r="M161">
        <v>2</v>
      </c>
      <c r="N161">
        <v>0</v>
      </c>
      <c r="O161" t="s">
        <v>72</v>
      </c>
      <c r="P161" t="s">
        <v>72</v>
      </c>
      <c r="Q161">
        <v>0</v>
      </c>
      <c r="R161">
        <v>0.1</v>
      </c>
      <c r="S161" t="str">
        <f t="shared" si="6"/>
        <v/>
      </c>
      <c r="T161" t="str">
        <f t="shared" si="7"/>
        <v/>
      </c>
      <c r="U161">
        <f t="shared" si="8"/>
        <v>3600</v>
      </c>
    </row>
    <row r="162" spans="2:21" x14ac:dyDescent="0.25">
      <c r="B162" t="s">
        <v>1</v>
      </c>
      <c r="C162" t="s">
        <v>7</v>
      </c>
      <c r="D162" s="1">
        <v>0.875</v>
      </c>
      <c r="E162">
        <v>0</v>
      </c>
      <c r="F162">
        <v>0</v>
      </c>
      <c r="G162">
        <v>2</v>
      </c>
      <c r="H162">
        <v>0</v>
      </c>
      <c r="I162" t="e">
        <v>#NAME?</v>
      </c>
      <c r="J162">
        <v>1</v>
      </c>
      <c r="K162" t="e">
        <v>#NAME?</v>
      </c>
      <c r="L162">
        <v>2</v>
      </c>
      <c r="M162">
        <v>2</v>
      </c>
      <c r="N162">
        <v>0</v>
      </c>
      <c r="O162" t="s">
        <v>72</v>
      </c>
      <c r="P162" t="s">
        <v>72</v>
      </c>
      <c r="Q162">
        <v>0</v>
      </c>
      <c r="R162">
        <v>0.1</v>
      </c>
      <c r="S162" t="str">
        <f t="shared" si="6"/>
        <v/>
      </c>
      <c r="T162" t="str">
        <f t="shared" si="7"/>
        <v/>
      </c>
      <c r="U162">
        <f t="shared" si="8"/>
        <v>3600</v>
      </c>
    </row>
    <row r="163" spans="2:21" x14ac:dyDescent="0.25">
      <c r="B163" t="s">
        <v>1</v>
      </c>
      <c r="C163" t="s">
        <v>7</v>
      </c>
      <c r="D163" s="1">
        <v>0.89583333333333337</v>
      </c>
      <c r="E163">
        <v>0</v>
      </c>
      <c r="F163">
        <v>0</v>
      </c>
      <c r="G163">
        <v>2</v>
      </c>
      <c r="H163">
        <v>0</v>
      </c>
      <c r="I163" t="e">
        <v>#NAME?</v>
      </c>
      <c r="J163">
        <v>1</v>
      </c>
      <c r="K163" t="e">
        <v>#NAME?</v>
      </c>
      <c r="L163">
        <v>2</v>
      </c>
      <c r="M163">
        <v>2</v>
      </c>
      <c r="N163">
        <v>0</v>
      </c>
      <c r="O163" t="s">
        <v>72</v>
      </c>
      <c r="P163" t="s">
        <v>72</v>
      </c>
      <c r="Q163">
        <v>0</v>
      </c>
      <c r="R163">
        <v>0.1</v>
      </c>
      <c r="S163" t="str">
        <f t="shared" si="6"/>
        <v/>
      </c>
      <c r="T163" t="str">
        <f t="shared" si="7"/>
        <v/>
      </c>
      <c r="U163">
        <f t="shared" si="8"/>
        <v>3600</v>
      </c>
    </row>
    <row r="164" spans="2:21" x14ac:dyDescent="0.25">
      <c r="B164" t="s">
        <v>1</v>
      </c>
      <c r="C164" t="s">
        <v>8</v>
      </c>
      <c r="D164" s="1">
        <v>0.25</v>
      </c>
      <c r="E164">
        <v>2</v>
      </c>
      <c r="F164">
        <v>900</v>
      </c>
      <c r="G164">
        <v>2</v>
      </c>
      <c r="H164">
        <v>1</v>
      </c>
      <c r="I164" t="e">
        <v>#NAME?</v>
      </c>
      <c r="J164">
        <v>2</v>
      </c>
      <c r="K164" t="e">
        <v>#NAME?</v>
      </c>
      <c r="L164">
        <v>3</v>
      </c>
      <c r="M164">
        <v>1</v>
      </c>
      <c r="N164">
        <v>-2</v>
      </c>
      <c r="O164">
        <v>1</v>
      </c>
      <c r="P164">
        <v>1</v>
      </c>
      <c r="Q164">
        <v>0.33333333333333331</v>
      </c>
      <c r="R164">
        <v>0.1</v>
      </c>
      <c r="S164">
        <f t="shared" si="6"/>
        <v>2</v>
      </c>
      <c r="T164">
        <f t="shared" si="7"/>
        <v>2</v>
      </c>
      <c r="U164">
        <f t="shared" si="8"/>
        <v>1800</v>
      </c>
    </row>
    <row r="165" spans="2:21" x14ac:dyDescent="0.25">
      <c r="B165" t="s">
        <v>1</v>
      </c>
      <c r="C165" t="s">
        <v>8</v>
      </c>
      <c r="D165" s="1">
        <v>0.27083333333333331</v>
      </c>
      <c r="E165">
        <v>2</v>
      </c>
      <c r="F165">
        <v>900</v>
      </c>
      <c r="G165">
        <v>2</v>
      </c>
      <c r="H165">
        <v>1</v>
      </c>
      <c r="I165" t="e">
        <v>#NAME?</v>
      </c>
      <c r="J165">
        <v>2</v>
      </c>
      <c r="K165" t="e">
        <v>#NAME?</v>
      </c>
      <c r="L165">
        <v>3</v>
      </c>
      <c r="M165">
        <v>1</v>
      </c>
      <c r="N165">
        <v>-2</v>
      </c>
      <c r="O165">
        <v>1</v>
      </c>
      <c r="P165">
        <v>1</v>
      </c>
      <c r="Q165">
        <v>0.33333333333333331</v>
      </c>
      <c r="R165">
        <v>0.1</v>
      </c>
      <c r="S165">
        <f t="shared" si="6"/>
        <v>2</v>
      </c>
      <c r="T165">
        <f t="shared" si="7"/>
        <v>2</v>
      </c>
      <c r="U165">
        <f t="shared" si="8"/>
        <v>1800</v>
      </c>
    </row>
    <row r="166" spans="2:21" x14ac:dyDescent="0.25">
      <c r="B166" t="s">
        <v>1</v>
      </c>
      <c r="C166" t="s">
        <v>8</v>
      </c>
      <c r="D166" s="1">
        <v>0.29166666666666669</v>
      </c>
      <c r="E166">
        <v>3</v>
      </c>
      <c r="F166">
        <v>900</v>
      </c>
      <c r="G166">
        <v>2</v>
      </c>
      <c r="H166">
        <v>1.5</v>
      </c>
      <c r="I166" t="e">
        <v>#NAME?</v>
      </c>
      <c r="J166">
        <v>2</v>
      </c>
      <c r="K166" t="e">
        <v>#NAME?</v>
      </c>
      <c r="L166">
        <v>3</v>
      </c>
      <c r="M166">
        <v>3</v>
      </c>
      <c r="N166">
        <v>0</v>
      </c>
      <c r="O166">
        <v>0.94736617803573608</v>
      </c>
      <c r="P166">
        <v>1</v>
      </c>
      <c r="Q166">
        <v>0.16666666666666666</v>
      </c>
      <c r="R166">
        <v>0.1</v>
      </c>
      <c r="S166">
        <f t="shared" si="6"/>
        <v>2.8420985341072083</v>
      </c>
      <c r="T166">
        <f t="shared" si="7"/>
        <v>3</v>
      </c>
      <c r="U166">
        <f t="shared" si="8"/>
        <v>5400</v>
      </c>
    </row>
    <row r="167" spans="2:21" x14ac:dyDescent="0.25">
      <c r="B167" t="s">
        <v>1</v>
      </c>
      <c r="C167" t="s">
        <v>8</v>
      </c>
      <c r="D167" s="1">
        <v>0.3125</v>
      </c>
      <c r="E167">
        <v>5</v>
      </c>
      <c r="F167">
        <v>900</v>
      </c>
      <c r="G167">
        <v>2</v>
      </c>
      <c r="H167">
        <v>2.5</v>
      </c>
      <c r="I167" t="e">
        <v>#NAME?</v>
      </c>
      <c r="J167">
        <v>3</v>
      </c>
      <c r="K167" t="e">
        <v>#NAME?</v>
      </c>
      <c r="L167">
        <v>4</v>
      </c>
      <c r="M167">
        <v>3</v>
      </c>
      <c r="N167">
        <v>-1</v>
      </c>
      <c r="O167">
        <v>0.87302172183990479</v>
      </c>
      <c r="P167">
        <v>1</v>
      </c>
      <c r="Q167">
        <v>0.27777777777777779</v>
      </c>
      <c r="R167">
        <v>0.1</v>
      </c>
      <c r="S167">
        <f t="shared" si="6"/>
        <v>4.3651086091995239</v>
      </c>
      <c r="T167">
        <f t="shared" si="7"/>
        <v>5</v>
      </c>
      <c r="U167">
        <f t="shared" si="8"/>
        <v>5400</v>
      </c>
    </row>
    <row r="168" spans="2:21" x14ac:dyDescent="0.25">
      <c r="B168" t="s">
        <v>1</v>
      </c>
      <c r="C168" t="s">
        <v>8</v>
      </c>
      <c r="D168" s="1">
        <v>0.33333333333333331</v>
      </c>
      <c r="E168">
        <v>12</v>
      </c>
      <c r="F168">
        <v>900</v>
      </c>
      <c r="G168">
        <v>2</v>
      </c>
      <c r="H168">
        <v>6</v>
      </c>
      <c r="I168" t="e">
        <v>#NAME?</v>
      </c>
      <c r="J168">
        <v>4</v>
      </c>
      <c r="K168" t="e">
        <v>#NAME?</v>
      </c>
      <c r="L168">
        <v>5</v>
      </c>
      <c r="M168">
        <v>5</v>
      </c>
      <c r="N168">
        <v>0</v>
      </c>
      <c r="O168">
        <v>0.93620419502258301</v>
      </c>
      <c r="P168">
        <v>1</v>
      </c>
      <c r="Q168">
        <v>0.4</v>
      </c>
      <c r="R168">
        <v>0.1</v>
      </c>
      <c r="S168">
        <f t="shared" si="6"/>
        <v>11.234450340270996</v>
      </c>
      <c r="T168">
        <f t="shared" si="7"/>
        <v>12</v>
      </c>
      <c r="U168">
        <f t="shared" si="8"/>
        <v>9000</v>
      </c>
    </row>
    <row r="169" spans="2:21" x14ac:dyDescent="0.25">
      <c r="B169" t="s">
        <v>1</v>
      </c>
      <c r="C169" t="s">
        <v>8</v>
      </c>
      <c r="D169" s="1">
        <v>0.35416666666666669</v>
      </c>
      <c r="E169">
        <v>16</v>
      </c>
      <c r="F169">
        <v>900</v>
      </c>
      <c r="G169">
        <v>2</v>
      </c>
      <c r="H169">
        <v>8</v>
      </c>
      <c r="I169" t="e">
        <v>#NAME?</v>
      </c>
      <c r="J169">
        <v>5</v>
      </c>
      <c r="K169" t="e">
        <v>#NAME?</v>
      </c>
      <c r="L169">
        <v>6</v>
      </c>
      <c r="M169">
        <v>5</v>
      </c>
      <c r="N169">
        <v>-1</v>
      </c>
      <c r="O169">
        <v>0.8552740216255188</v>
      </c>
      <c r="P169">
        <v>1</v>
      </c>
      <c r="Q169">
        <v>0.53333333333333333</v>
      </c>
      <c r="R169">
        <v>0.1</v>
      </c>
      <c r="S169">
        <f t="shared" si="6"/>
        <v>13.684384346008301</v>
      </c>
      <c r="T169">
        <f t="shared" si="7"/>
        <v>16</v>
      </c>
      <c r="U169">
        <f t="shared" si="8"/>
        <v>9000</v>
      </c>
    </row>
    <row r="170" spans="2:21" x14ac:dyDescent="0.25">
      <c r="B170" t="s">
        <v>1</v>
      </c>
      <c r="C170" t="s">
        <v>8</v>
      </c>
      <c r="D170" s="1">
        <v>0.375</v>
      </c>
      <c r="E170">
        <v>16</v>
      </c>
      <c r="F170">
        <v>900</v>
      </c>
      <c r="G170">
        <v>2</v>
      </c>
      <c r="H170">
        <v>8</v>
      </c>
      <c r="I170" t="e">
        <v>#NAME?</v>
      </c>
      <c r="J170">
        <v>5</v>
      </c>
      <c r="K170" t="e">
        <v>#NAME?</v>
      </c>
      <c r="L170">
        <v>6</v>
      </c>
      <c r="M170">
        <v>4.5</v>
      </c>
      <c r="N170">
        <v>-1.5</v>
      </c>
      <c r="O170">
        <v>0.84300351142883301</v>
      </c>
      <c r="P170">
        <v>1</v>
      </c>
      <c r="Q170">
        <v>0.59259259259259256</v>
      </c>
      <c r="R170">
        <v>0.1</v>
      </c>
      <c r="S170">
        <f t="shared" si="6"/>
        <v>13.488056182861328</v>
      </c>
      <c r="T170">
        <f t="shared" si="7"/>
        <v>16</v>
      </c>
      <c r="U170">
        <f t="shared" si="8"/>
        <v>8100</v>
      </c>
    </row>
    <row r="171" spans="2:21" x14ac:dyDescent="0.25">
      <c r="B171" t="s">
        <v>1</v>
      </c>
      <c r="C171" t="s">
        <v>8</v>
      </c>
      <c r="D171" s="1">
        <v>0.39583333333333331</v>
      </c>
      <c r="E171">
        <v>13</v>
      </c>
      <c r="F171">
        <v>900</v>
      </c>
      <c r="G171">
        <v>2</v>
      </c>
      <c r="H171">
        <v>6.5</v>
      </c>
      <c r="I171" t="e">
        <v>#NAME?</v>
      </c>
      <c r="J171">
        <v>5</v>
      </c>
      <c r="K171" t="e">
        <v>#NAME?</v>
      </c>
      <c r="L171">
        <v>6</v>
      </c>
      <c r="M171">
        <v>5</v>
      </c>
      <c r="N171">
        <v>-1</v>
      </c>
      <c r="O171">
        <v>0.91925090551376343</v>
      </c>
      <c r="P171">
        <v>1</v>
      </c>
      <c r="Q171">
        <v>0.43333333333333335</v>
      </c>
      <c r="R171">
        <v>0.1</v>
      </c>
      <c r="S171">
        <f t="shared" si="6"/>
        <v>11.950261771678925</v>
      </c>
      <c r="T171">
        <f t="shared" si="7"/>
        <v>13</v>
      </c>
      <c r="U171">
        <f t="shared" si="8"/>
        <v>9000</v>
      </c>
    </row>
    <row r="172" spans="2:21" x14ac:dyDescent="0.25">
      <c r="B172" t="s">
        <v>1</v>
      </c>
      <c r="C172" t="s">
        <v>8</v>
      </c>
      <c r="D172" s="1">
        <v>0.41666666666666669</v>
      </c>
      <c r="E172">
        <v>20</v>
      </c>
      <c r="F172">
        <v>900</v>
      </c>
      <c r="G172">
        <v>2</v>
      </c>
      <c r="H172">
        <v>10</v>
      </c>
      <c r="I172" t="e">
        <v>#NAME?</v>
      </c>
      <c r="J172">
        <v>6</v>
      </c>
      <c r="K172" t="e">
        <v>#NAME?</v>
      </c>
      <c r="L172">
        <v>7</v>
      </c>
      <c r="M172">
        <v>4.5</v>
      </c>
      <c r="N172">
        <v>-2.5</v>
      </c>
      <c r="O172">
        <v>0.84300351142883301</v>
      </c>
      <c r="P172">
        <v>0.97999999999999976</v>
      </c>
      <c r="Q172">
        <v>0.7407407407407407</v>
      </c>
      <c r="R172">
        <v>0.1</v>
      </c>
      <c r="S172">
        <f t="shared" si="6"/>
        <v>16.86007022857666</v>
      </c>
      <c r="T172">
        <f t="shared" si="7"/>
        <v>19.599999999999994</v>
      </c>
      <c r="U172">
        <f t="shared" si="8"/>
        <v>8100</v>
      </c>
    </row>
    <row r="173" spans="2:21" x14ac:dyDescent="0.25">
      <c r="B173" t="s">
        <v>1</v>
      </c>
      <c r="C173" t="s">
        <v>8</v>
      </c>
      <c r="D173" s="1">
        <v>0.4375</v>
      </c>
      <c r="E173">
        <v>21</v>
      </c>
      <c r="F173">
        <v>900</v>
      </c>
      <c r="G173">
        <v>2</v>
      </c>
      <c r="H173">
        <v>10.5</v>
      </c>
      <c r="I173" t="e">
        <v>#NAME?</v>
      </c>
      <c r="J173">
        <v>6</v>
      </c>
      <c r="K173" t="e">
        <v>#NAME?</v>
      </c>
      <c r="L173">
        <v>7</v>
      </c>
      <c r="M173">
        <v>5</v>
      </c>
      <c r="N173">
        <v>-2</v>
      </c>
      <c r="O173">
        <v>0.80923030376434302</v>
      </c>
      <c r="P173">
        <v>0.93333333333333302</v>
      </c>
      <c r="Q173">
        <v>0.7</v>
      </c>
      <c r="R173">
        <v>0.1</v>
      </c>
      <c r="S173">
        <f t="shared" si="6"/>
        <v>16.993836379051203</v>
      </c>
      <c r="T173">
        <f t="shared" si="7"/>
        <v>19.599999999999994</v>
      </c>
      <c r="U173">
        <f t="shared" si="8"/>
        <v>9000</v>
      </c>
    </row>
    <row r="174" spans="2:21" x14ac:dyDescent="0.25">
      <c r="B174" t="s">
        <v>1</v>
      </c>
      <c r="C174" t="s">
        <v>8</v>
      </c>
      <c r="D174" s="1">
        <v>0.45833333333333331</v>
      </c>
      <c r="E174">
        <v>17</v>
      </c>
      <c r="F174">
        <v>900</v>
      </c>
      <c r="G174">
        <v>2</v>
      </c>
      <c r="H174">
        <v>8.5</v>
      </c>
      <c r="I174" t="e">
        <v>#NAME?</v>
      </c>
      <c r="J174">
        <v>5</v>
      </c>
      <c r="K174" t="e">
        <v>#NAME?</v>
      </c>
      <c r="L174">
        <v>6</v>
      </c>
      <c r="M174">
        <v>4.5</v>
      </c>
      <c r="N174">
        <v>-1.5</v>
      </c>
      <c r="O174">
        <v>0.81427067518234253</v>
      </c>
      <c r="P174">
        <v>0.98823529411764688</v>
      </c>
      <c r="Q174">
        <v>0.62962962962962965</v>
      </c>
      <c r="R174">
        <v>0.1</v>
      </c>
      <c r="S174">
        <f t="shared" si="6"/>
        <v>13.842601478099823</v>
      </c>
      <c r="T174">
        <f t="shared" si="7"/>
        <v>16.799999999999997</v>
      </c>
      <c r="U174">
        <f t="shared" si="8"/>
        <v>8100</v>
      </c>
    </row>
    <row r="175" spans="2:21" x14ac:dyDescent="0.25">
      <c r="B175" t="s">
        <v>1</v>
      </c>
      <c r="C175" t="s">
        <v>8</v>
      </c>
      <c r="D175" s="1">
        <v>0.47916666666666669</v>
      </c>
      <c r="E175">
        <v>15</v>
      </c>
      <c r="F175">
        <v>900</v>
      </c>
      <c r="G175">
        <v>2</v>
      </c>
      <c r="H175">
        <v>7.5</v>
      </c>
      <c r="I175" t="e">
        <v>#NAME?</v>
      </c>
      <c r="J175">
        <v>5</v>
      </c>
      <c r="K175" t="e">
        <v>#NAME?</v>
      </c>
      <c r="L175">
        <v>6</v>
      </c>
      <c r="M175">
        <v>5</v>
      </c>
      <c r="N175">
        <v>-1</v>
      </c>
      <c r="O175">
        <v>0.87873762845993042</v>
      </c>
      <c r="P175">
        <v>1</v>
      </c>
      <c r="Q175">
        <v>0.5</v>
      </c>
      <c r="R175">
        <v>0.1</v>
      </c>
      <c r="S175">
        <f t="shared" si="6"/>
        <v>13.181064426898956</v>
      </c>
      <c r="T175">
        <f t="shared" si="7"/>
        <v>15</v>
      </c>
      <c r="U175">
        <f t="shared" si="8"/>
        <v>9000</v>
      </c>
    </row>
    <row r="176" spans="2:21" x14ac:dyDescent="0.25">
      <c r="B176" t="s">
        <v>1</v>
      </c>
      <c r="C176" t="s">
        <v>8</v>
      </c>
      <c r="D176" s="1">
        <v>0.5</v>
      </c>
      <c r="E176">
        <v>16</v>
      </c>
      <c r="F176">
        <v>900</v>
      </c>
      <c r="G176">
        <v>2</v>
      </c>
      <c r="H176">
        <v>8</v>
      </c>
      <c r="I176" t="e">
        <v>#NAME?</v>
      </c>
      <c r="J176">
        <v>5</v>
      </c>
      <c r="K176" t="e">
        <v>#NAME?</v>
      </c>
      <c r="L176">
        <v>6</v>
      </c>
      <c r="M176">
        <v>4</v>
      </c>
      <c r="N176">
        <v>-2</v>
      </c>
      <c r="O176">
        <v>0.75393364429473897</v>
      </c>
      <c r="P176">
        <v>1</v>
      </c>
      <c r="Q176">
        <v>0.66666666666666663</v>
      </c>
      <c r="R176">
        <v>0.1</v>
      </c>
      <c r="S176">
        <f t="shared" si="6"/>
        <v>12.062938308715824</v>
      </c>
      <c r="T176">
        <f t="shared" si="7"/>
        <v>16</v>
      </c>
      <c r="U176">
        <f t="shared" si="8"/>
        <v>7200</v>
      </c>
    </row>
    <row r="177" spans="2:21" x14ac:dyDescent="0.25">
      <c r="B177" t="s">
        <v>1</v>
      </c>
      <c r="C177" t="s">
        <v>8</v>
      </c>
      <c r="D177" s="1">
        <v>0.52083333333333337</v>
      </c>
      <c r="E177">
        <v>11</v>
      </c>
      <c r="F177">
        <v>900</v>
      </c>
      <c r="G177">
        <v>2</v>
      </c>
      <c r="H177">
        <v>5.5</v>
      </c>
      <c r="I177" t="e">
        <v>#NAME?</v>
      </c>
      <c r="J177">
        <v>4</v>
      </c>
      <c r="K177" t="e">
        <v>#NAME?</v>
      </c>
      <c r="L177">
        <v>5</v>
      </c>
      <c r="M177">
        <v>4</v>
      </c>
      <c r="N177">
        <v>-1</v>
      </c>
      <c r="O177">
        <v>0.83914047479629517</v>
      </c>
      <c r="P177">
        <v>1</v>
      </c>
      <c r="Q177">
        <v>0.45833333333333331</v>
      </c>
      <c r="R177">
        <v>0.1</v>
      </c>
      <c r="S177">
        <f t="shared" si="6"/>
        <v>9.2305452227592468</v>
      </c>
      <c r="T177">
        <f t="shared" si="7"/>
        <v>11</v>
      </c>
      <c r="U177">
        <f t="shared" si="8"/>
        <v>7200</v>
      </c>
    </row>
    <row r="178" spans="2:21" x14ac:dyDescent="0.25">
      <c r="B178" t="s">
        <v>1</v>
      </c>
      <c r="C178" t="s">
        <v>8</v>
      </c>
      <c r="D178" s="1">
        <v>0.54166666666666663</v>
      </c>
      <c r="E178">
        <v>6</v>
      </c>
      <c r="F178">
        <v>900</v>
      </c>
      <c r="G178">
        <v>2</v>
      </c>
      <c r="H178">
        <v>3</v>
      </c>
      <c r="I178" t="e">
        <v>#NAME?</v>
      </c>
      <c r="J178">
        <v>3</v>
      </c>
      <c r="K178" t="e">
        <v>#NAME?</v>
      </c>
      <c r="L178">
        <v>4</v>
      </c>
      <c r="M178">
        <v>4</v>
      </c>
      <c r="N178">
        <v>0</v>
      </c>
      <c r="O178">
        <v>0.96136504411697388</v>
      </c>
      <c r="P178">
        <v>1</v>
      </c>
      <c r="Q178">
        <v>0.25</v>
      </c>
      <c r="R178">
        <v>0.1</v>
      </c>
      <c r="S178">
        <f t="shared" si="6"/>
        <v>5.7681902647018433</v>
      </c>
      <c r="T178">
        <f t="shared" si="7"/>
        <v>6</v>
      </c>
      <c r="U178">
        <f t="shared" si="8"/>
        <v>7200</v>
      </c>
    </row>
    <row r="179" spans="2:21" x14ac:dyDescent="0.25">
      <c r="B179" t="s">
        <v>1</v>
      </c>
      <c r="C179" t="s">
        <v>8</v>
      </c>
      <c r="D179" s="1">
        <v>0.5625</v>
      </c>
      <c r="E179">
        <v>8</v>
      </c>
      <c r="F179">
        <v>900</v>
      </c>
      <c r="G179">
        <v>2</v>
      </c>
      <c r="H179">
        <v>4</v>
      </c>
      <c r="I179" t="e">
        <v>#NAME?</v>
      </c>
      <c r="J179">
        <v>3</v>
      </c>
      <c r="K179" t="e">
        <v>#NAME?</v>
      </c>
      <c r="L179">
        <v>4</v>
      </c>
      <c r="M179">
        <v>4</v>
      </c>
      <c r="N179">
        <v>0</v>
      </c>
      <c r="O179">
        <v>0.92203575372695923</v>
      </c>
      <c r="P179">
        <v>1</v>
      </c>
      <c r="Q179">
        <v>0.33333333333333331</v>
      </c>
      <c r="R179">
        <v>0.1</v>
      </c>
      <c r="S179">
        <f t="shared" si="6"/>
        <v>7.3762860298156738</v>
      </c>
      <c r="T179">
        <f t="shared" si="7"/>
        <v>8</v>
      </c>
      <c r="U179">
        <f t="shared" si="8"/>
        <v>7200</v>
      </c>
    </row>
    <row r="180" spans="2:21" x14ac:dyDescent="0.25">
      <c r="B180" t="s">
        <v>1</v>
      </c>
      <c r="C180" t="s">
        <v>8</v>
      </c>
      <c r="D180" s="1">
        <v>0.58333333333333337</v>
      </c>
      <c r="E180">
        <v>7</v>
      </c>
      <c r="F180">
        <v>900</v>
      </c>
      <c r="G180">
        <v>2</v>
      </c>
      <c r="H180">
        <v>3.5</v>
      </c>
      <c r="I180" t="e">
        <v>#NAME?</v>
      </c>
      <c r="J180">
        <v>3</v>
      </c>
      <c r="K180" t="e">
        <v>#NAME?</v>
      </c>
      <c r="L180">
        <v>4</v>
      </c>
      <c r="M180">
        <v>3</v>
      </c>
      <c r="N180">
        <v>-1</v>
      </c>
      <c r="O180">
        <v>0.78219914436340332</v>
      </c>
      <c r="P180">
        <v>1</v>
      </c>
      <c r="Q180">
        <v>0.3888888888888889</v>
      </c>
      <c r="R180">
        <v>0.1</v>
      </c>
      <c r="S180">
        <f t="shared" si="6"/>
        <v>5.4753940105438232</v>
      </c>
      <c r="T180">
        <f t="shared" si="7"/>
        <v>7</v>
      </c>
      <c r="U180">
        <f t="shared" si="8"/>
        <v>5400</v>
      </c>
    </row>
    <row r="181" spans="2:21" x14ac:dyDescent="0.25">
      <c r="B181" t="s">
        <v>1</v>
      </c>
      <c r="C181" t="s">
        <v>8</v>
      </c>
      <c r="D181" s="1">
        <v>0.60416666666666663</v>
      </c>
      <c r="E181">
        <v>7</v>
      </c>
      <c r="F181">
        <v>900</v>
      </c>
      <c r="G181">
        <v>2</v>
      </c>
      <c r="H181">
        <v>3.5</v>
      </c>
      <c r="I181" t="e">
        <v>#NAME?</v>
      </c>
      <c r="J181">
        <v>3</v>
      </c>
      <c r="K181" t="e">
        <v>#NAME?</v>
      </c>
      <c r="L181">
        <v>4</v>
      </c>
      <c r="M181">
        <v>3</v>
      </c>
      <c r="N181">
        <v>-1</v>
      </c>
      <c r="O181">
        <v>0.78219914436340332</v>
      </c>
      <c r="P181">
        <v>1</v>
      </c>
      <c r="Q181">
        <v>0.3888888888888889</v>
      </c>
      <c r="R181">
        <v>0.1</v>
      </c>
      <c r="S181">
        <f t="shared" si="6"/>
        <v>5.4753940105438232</v>
      </c>
      <c r="T181">
        <f t="shared" si="7"/>
        <v>7</v>
      </c>
      <c r="U181">
        <f t="shared" si="8"/>
        <v>5400</v>
      </c>
    </row>
    <row r="182" spans="2:21" x14ac:dyDescent="0.25">
      <c r="B182" t="s">
        <v>1</v>
      </c>
      <c r="C182" t="s">
        <v>8</v>
      </c>
      <c r="D182" s="1">
        <v>0.625</v>
      </c>
      <c r="E182">
        <v>6</v>
      </c>
      <c r="F182">
        <v>900</v>
      </c>
      <c r="G182">
        <v>2</v>
      </c>
      <c r="H182">
        <v>3</v>
      </c>
      <c r="I182" t="e">
        <v>#NAME?</v>
      </c>
      <c r="J182">
        <v>3</v>
      </c>
      <c r="K182" t="e">
        <v>#NAME?</v>
      </c>
      <c r="L182">
        <v>4</v>
      </c>
      <c r="M182">
        <v>2.5</v>
      </c>
      <c r="N182">
        <v>-1.5</v>
      </c>
      <c r="O182">
        <v>0.81653487682342529</v>
      </c>
      <c r="P182">
        <v>1</v>
      </c>
      <c r="Q182">
        <v>0.4</v>
      </c>
      <c r="R182">
        <v>0.1</v>
      </c>
      <c r="S182">
        <f t="shared" si="6"/>
        <v>4.8992092609405518</v>
      </c>
      <c r="T182">
        <f t="shared" si="7"/>
        <v>6</v>
      </c>
      <c r="U182">
        <f t="shared" si="8"/>
        <v>4500</v>
      </c>
    </row>
    <row r="183" spans="2:21" x14ac:dyDescent="0.25">
      <c r="B183" t="s">
        <v>1</v>
      </c>
      <c r="C183" t="s">
        <v>8</v>
      </c>
      <c r="D183" s="1">
        <v>0.64583333333333337</v>
      </c>
      <c r="E183">
        <v>5</v>
      </c>
      <c r="F183">
        <v>900</v>
      </c>
      <c r="G183">
        <v>2</v>
      </c>
      <c r="H183">
        <v>2.5</v>
      </c>
      <c r="I183" t="e">
        <v>#NAME?</v>
      </c>
      <c r="J183">
        <v>3</v>
      </c>
      <c r="K183" t="e">
        <v>#NAME?</v>
      </c>
      <c r="L183">
        <v>4</v>
      </c>
      <c r="M183">
        <v>3</v>
      </c>
      <c r="N183">
        <v>-1</v>
      </c>
      <c r="O183">
        <v>0.87302172183990479</v>
      </c>
      <c r="P183">
        <v>1</v>
      </c>
      <c r="Q183">
        <v>0.27777777777777779</v>
      </c>
      <c r="R183">
        <v>0.1</v>
      </c>
      <c r="S183">
        <f t="shared" si="6"/>
        <v>4.3651086091995239</v>
      </c>
      <c r="T183">
        <f t="shared" si="7"/>
        <v>5</v>
      </c>
      <c r="U183">
        <f t="shared" si="8"/>
        <v>5400</v>
      </c>
    </row>
    <row r="184" spans="2:21" x14ac:dyDescent="0.25">
      <c r="B184" t="s">
        <v>1</v>
      </c>
      <c r="C184" t="s">
        <v>8</v>
      </c>
      <c r="D184" s="1">
        <v>0.66666666666666663</v>
      </c>
      <c r="E184">
        <v>4</v>
      </c>
      <c r="F184">
        <v>900</v>
      </c>
      <c r="G184">
        <v>2</v>
      </c>
      <c r="H184">
        <v>2</v>
      </c>
      <c r="I184" t="e">
        <v>#NAME?</v>
      </c>
      <c r="J184">
        <v>2</v>
      </c>
      <c r="K184" t="e">
        <v>#NAME?</v>
      </c>
      <c r="L184">
        <v>3</v>
      </c>
      <c r="M184">
        <v>4</v>
      </c>
      <c r="N184">
        <v>1</v>
      </c>
      <c r="O184">
        <v>0.9864804744720459</v>
      </c>
      <c r="P184">
        <v>1</v>
      </c>
      <c r="Q184">
        <v>0.16666666666666666</v>
      </c>
      <c r="R184">
        <v>0.1</v>
      </c>
      <c r="S184">
        <f t="shared" si="6"/>
        <v>3.9459218978881836</v>
      </c>
      <c r="T184">
        <f t="shared" si="7"/>
        <v>4</v>
      </c>
      <c r="U184">
        <f t="shared" si="8"/>
        <v>7200</v>
      </c>
    </row>
    <row r="185" spans="2:21" x14ac:dyDescent="0.25">
      <c r="B185" t="s">
        <v>1</v>
      </c>
      <c r="C185" t="s">
        <v>8</v>
      </c>
      <c r="D185" s="1">
        <v>0.6875</v>
      </c>
      <c r="E185">
        <v>2</v>
      </c>
      <c r="F185">
        <v>900</v>
      </c>
      <c r="G185">
        <v>2</v>
      </c>
      <c r="H185">
        <v>1</v>
      </c>
      <c r="I185" t="e">
        <v>#NAME?</v>
      </c>
      <c r="J185">
        <v>2</v>
      </c>
      <c r="K185" t="e">
        <v>#NAME?</v>
      </c>
      <c r="L185">
        <v>3</v>
      </c>
      <c r="M185">
        <v>3.5</v>
      </c>
      <c r="N185">
        <v>0.5</v>
      </c>
      <c r="O185">
        <v>0.9979519248008728</v>
      </c>
      <c r="P185">
        <v>1</v>
      </c>
      <c r="Q185">
        <v>9.5238095238095233E-2</v>
      </c>
      <c r="R185">
        <v>0.1</v>
      </c>
      <c r="S185">
        <f t="shared" si="6"/>
        <v>1.9959038496017456</v>
      </c>
      <c r="T185">
        <f t="shared" si="7"/>
        <v>2</v>
      </c>
      <c r="U185">
        <f t="shared" si="8"/>
        <v>6300</v>
      </c>
    </row>
    <row r="186" spans="2:21" x14ac:dyDescent="0.25">
      <c r="B186" t="s">
        <v>1</v>
      </c>
      <c r="C186" t="s">
        <v>8</v>
      </c>
      <c r="D186" s="1">
        <v>0.70833333333333337</v>
      </c>
      <c r="E186">
        <v>3</v>
      </c>
      <c r="F186">
        <v>900</v>
      </c>
      <c r="G186">
        <v>2</v>
      </c>
      <c r="H186">
        <v>1.5</v>
      </c>
      <c r="I186" t="e">
        <v>#NAME?</v>
      </c>
      <c r="J186">
        <v>2</v>
      </c>
      <c r="K186" t="e">
        <v>#NAME?</v>
      </c>
      <c r="L186">
        <v>3</v>
      </c>
      <c r="M186">
        <v>2</v>
      </c>
      <c r="N186">
        <v>-1</v>
      </c>
      <c r="O186">
        <v>0.69217485189437866</v>
      </c>
      <c r="P186">
        <v>1</v>
      </c>
      <c r="Q186">
        <v>0.25</v>
      </c>
      <c r="R186">
        <v>0.1</v>
      </c>
      <c r="S186">
        <f t="shared" si="6"/>
        <v>2.076524555683136</v>
      </c>
      <c r="T186">
        <f t="shared" si="7"/>
        <v>3</v>
      </c>
      <c r="U186">
        <f t="shared" si="8"/>
        <v>3600</v>
      </c>
    </row>
    <row r="187" spans="2:21" x14ac:dyDescent="0.25">
      <c r="B187" t="s">
        <v>1</v>
      </c>
      <c r="C187" t="s">
        <v>8</v>
      </c>
      <c r="D187" s="1">
        <v>0.72916666666666663</v>
      </c>
      <c r="E187">
        <v>2</v>
      </c>
      <c r="F187">
        <v>900</v>
      </c>
      <c r="G187">
        <v>2</v>
      </c>
      <c r="H187">
        <v>1</v>
      </c>
      <c r="I187" t="e">
        <v>#NAME?</v>
      </c>
      <c r="J187">
        <v>2</v>
      </c>
      <c r="K187" t="e">
        <v>#NAME?</v>
      </c>
      <c r="L187">
        <v>3</v>
      </c>
      <c r="M187">
        <v>2</v>
      </c>
      <c r="N187">
        <v>-1</v>
      </c>
      <c r="O187">
        <v>0.78451824188232422</v>
      </c>
      <c r="P187">
        <v>1</v>
      </c>
      <c r="Q187">
        <v>0.16666666666666666</v>
      </c>
      <c r="R187">
        <v>0.1</v>
      </c>
      <c r="S187">
        <f t="shared" si="6"/>
        <v>1.5690364837646484</v>
      </c>
      <c r="T187">
        <f t="shared" si="7"/>
        <v>2</v>
      </c>
      <c r="U187">
        <f t="shared" si="8"/>
        <v>3600</v>
      </c>
    </row>
    <row r="188" spans="2:21" x14ac:dyDescent="0.25">
      <c r="B188" t="s">
        <v>1</v>
      </c>
      <c r="C188" t="s">
        <v>8</v>
      </c>
      <c r="D188" s="1">
        <v>0.75</v>
      </c>
      <c r="E188">
        <v>1</v>
      </c>
      <c r="F188">
        <v>900</v>
      </c>
      <c r="G188">
        <v>2</v>
      </c>
      <c r="H188">
        <v>0.5</v>
      </c>
      <c r="I188" t="e">
        <v>#NAME?</v>
      </c>
      <c r="J188">
        <v>1</v>
      </c>
      <c r="K188" t="e">
        <v>#NAME?</v>
      </c>
      <c r="L188">
        <v>2</v>
      </c>
      <c r="M188">
        <v>1.5</v>
      </c>
      <c r="N188">
        <v>-0.5</v>
      </c>
      <c r="O188">
        <v>0.88292413949966431</v>
      </c>
      <c r="P188">
        <v>1</v>
      </c>
      <c r="Q188">
        <v>0.1111111111111111</v>
      </c>
      <c r="R188">
        <v>0.1</v>
      </c>
      <c r="S188">
        <f t="shared" si="6"/>
        <v>0.88292413949966431</v>
      </c>
      <c r="T188">
        <f t="shared" si="7"/>
        <v>1</v>
      </c>
      <c r="U188">
        <f t="shared" si="8"/>
        <v>2700</v>
      </c>
    </row>
    <row r="189" spans="2:21" x14ac:dyDescent="0.25">
      <c r="B189" t="s">
        <v>1</v>
      </c>
      <c r="C189" t="s">
        <v>8</v>
      </c>
      <c r="D189" s="1">
        <v>0.77083333333333337</v>
      </c>
      <c r="E189">
        <v>1</v>
      </c>
      <c r="F189">
        <v>900</v>
      </c>
      <c r="G189">
        <v>2</v>
      </c>
      <c r="H189">
        <v>0.5</v>
      </c>
      <c r="I189" t="e">
        <v>#NAME?</v>
      </c>
      <c r="J189">
        <v>1</v>
      </c>
      <c r="K189" t="e">
        <v>#NAME?</v>
      </c>
      <c r="L189">
        <v>2</v>
      </c>
      <c r="M189">
        <v>2</v>
      </c>
      <c r="N189">
        <v>0</v>
      </c>
      <c r="O189">
        <v>0.88655191659927368</v>
      </c>
      <c r="P189">
        <v>1</v>
      </c>
      <c r="Q189">
        <v>8.3333333333333329E-2</v>
      </c>
      <c r="R189">
        <v>0.1</v>
      </c>
      <c r="S189">
        <f t="shared" si="6"/>
        <v>0.88655191659927368</v>
      </c>
      <c r="T189">
        <f t="shared" si="7"/>
        <v>1</v>
      </c>
      <c r="U189">
        <f t="shared" si="8"/>
        <v>3600</v>
      </c>
    </row>
    <row r="190" spans="2:21" x14ac:dyDescent="0.25">
      <c r="B190" t="s">
        <v>1</v>
      </c>
      <c r="C190" t="s">
        <v>8</v>
      </c>
      <c r="D190" s="1">
        <v>0.79166666666666663</v>
      </c>
      <c r="E190">
        <v>1</v>
      </c>
      <c r="F190">
        <v>900</v>
      </c>
      <c r="G190">
        <v>2</v>
      </c>
      <c r="H190">
        <v>0.5</v>
      </c>
      <c r="I190" t="e">
        <v>#NAME?</v>
      </c>
      <c r="J190">
        <v>1</v>
      </c>
      <c r="K190" t="e">
        <v>#NAME?</v>
      </c>
      <c r="L190">
        <v>2</v>
      </c>
      <c r="M190">
        <v>2</v>
      </c>
      <c r="N190">
        <v>0</v>
      </c>
      <c r="O190">
        <v>0.88655191659927368</v>
      </c>
      <c r="P190">
        <v>1</v>
      </c>
      <c r="Q190">
        <v>8.3333333333333329E-2</v>
      </c>
      <c r="R190">
        <v>0.1</v>
      </c>
      <c r="S190">
        <f t="shared" si="6"/>
        <v>0.88655191659927368</v>
      </c>
      <c r="T190">
        <f t="shared" si="7"/>
        <v>1</v>
      </c>
      <c r="U190">
        <f t="shared" si="8"/>
        <v>3600</v>
      </c>
    </row>
    <row r="191" spans="2:21" x14ac:dyDescent="0.25">
      <c r="B191" t="s">
        <v>1</v>
      </c>
      <c r="C191" t="s">
        <v>8</v>
      </c>
      <c r="D191" s="1">
        <v>0.8125</v>
      </c>
      <c r="E191">
        <v>1</v>
      </c>
      <c r="F191">
        <v>900</v>
      </c>
      <c r="G191">
        <v>2</v>
      </c>
      <c r="H191">
        <v>0.5</v>
      </c>
      <c r="I191" t="e">
        <v>#NAME?</v>
      </c>
      <c r="J191">
        <v>1</v>
      </c>
      <c r="K191" t="e">
        <v>#NAME?</v>
      </c>
      <c r="L191">
        <v>2</v>
      </c>
      <c r="M191">
        <v>2</v>
      </c>
      <c r="N191">
        <v>0</v>
      </c>
      <c r="O191">
        <v>0.88655191659927368</v>
      </c>
      <c r="P191">
        <v>1</v>
      </c>
      <c r="Q191">
        <v>8.3333333333333329E-2</v>
      </c>
      <c r="R191">
        <v>0.1</v>
      </c>
      <c r="S191">
        <f t="shared" si="6"/>
        <v>0.88655191659927368</v>
      </c>
      <c r="T191">
        <f t="shared" si="7"/>
        <v>1</v>
      </c>
      <c r="U191">
        <f t="shared" si="8"/>
        <v>3600</v>
      </c>
    </row>
    <row r="192" spans="2:21" x14ac:dyDescent="0.25">
      <c r="B192" t="s">
        <v>1</v>
      </c>
      <c r="C192" t="s">
        <v>8</v>
      </c>
      <c r="D192" s="1">
        <v>0.83333333333333337</v>
      </c>
      <c r="E192">
        <v>1</v>
      </c>
      <c r="F192">
        <v>900</v>
      </c>
      <c r="G192">
        <v>2</v>
      </c>
      <c r="H192">
        <v>0.5</v>
      </c>
      <c r="I192" t="e">
        <v>#NAME?</v>
      </c>
      <c r="J192">
        <v>1</v>
      </c>
      <c r="K192" t="e">
        <v>#NAME?</v>
      </c>
      <c r="L192">
        <v>2</v>
      </c>
      <c r="M192">
        <v>2</v>
      </c>
      <c r="N192">
        <v>0</v>
      </c>
      <c r="O192">
        <v>0.88655191659927368</v>
      </c>
      <c r="P192">
        <v>1</v>
      </c>
      <c r="Q192">
        <v>8.3333333333333329E-2</v>
      </c>
      <c r="R192">
        <v>0.1</v>
      </c>
      <c r="S192">
        <f t="shared" si="6"/>
        <v>0.88655191659927368</v>
      </c>
      <c r="T192">
        <f t="shared" si="7"/>
        <v>1</v>
      </c>
      <c r="U192">
        <f t="shared" si="8"/>
        <v>3600</v>
      </c>
    </row>
    <row r="193" spans="2:21" x14ac:dyDescent="0.25">
      <c r="B193" t="s">
        <v>1</v>
      </c>
      <c r="C193" t="s">
        <v>8</v>
      </c>
      <c r="D193" s="1">
        <v>0.85416666666666663</v>
      </c>
      <c r="E193">
        <v>1</v>
      </c>
      <c r="F193">
        <v>900</v>
      </c>
      <c r="G193">
        <v>2</v>
      </c>
      <c r="H193">
        <v>0.5</v>
      </c>
      <c r="I193" t="e">
        <v>#NAME?</v>
      </c>
      <c r="J193">
        <v>1</v>
      </c>
      <c r="K193" t="e">
        <v>#NAME?</v>
      </c>
      <c r="L193">
        <v>2</v>
      </c>
      <c r="M193">
        <v>1.5</v>
      </c>
      <c r="N193">
        <v>-0.5</v>
      </c>
      <c r="O193">
        <v>0.88292413949966431</v>
      </c>
      <c r="P193">
        <v>1</v>
      </c>
      <c r="Q193">
        <v>0.1111111111111111</v>
      </c>
      <c r="R193">
        <v>0.1</v>
      </c>
      <c r="S193">
        <f t="shared" si="6"/>
        <v>0.88292413949966431</v>
      </c>
      <c r="T193">
        <f t="shared" si="7"/>
        <v>1</v>
      </c>
      <c r="U193">
        <f t="shared" si="8"/>
        <v>2700</v>
      </c>
    </row>
    <row r="194" spans="2:21" x14ac:dyDescent="0.25">
      <c r="B194" t="s">
        <v>1</v>
      </c>
      <c r="C194" t="s">
        <v>8</v>
      </c>
      <c r="D194" s="1">
        <v>0.875</v>
      </c>
      <c r="E194">
        <v>1</v>
      </c>
      <c r="F194">
        <v>900</v>
      </c>
      <c r="G194">
        <v>2</v>
      </c>
      <c r="H194">
        <v>0.5</v>
      </c>
      <c r="I194" t="e">
        <v>#NAME?</v>
      </c>
      <c r="J194">
        <v>1</v>
      </c>
      <c r="K194" t="e">
        <v>#NAME?</v>
      </c>
      <c r="L194">
        <v>2</v>
      </c>
      <c r="M194">
        <v>1</v>
      </c>
      <c r="N194">
        <v>-1</v>
      </c>
      <c r="O194">
        <v>1</v>
      </c>
      <c r="P194">
        <v>1</v>
      </c>
      <c r="Q194">
        <v>0.16666666666666666</v>
      </c>
      <c r="R194">
        <v>0.1</v>
      </c>
      <c r="S194">
        <f t="shared" si="6"/>
        <v>1</v>
      </c>
      <c r="T194">
        <f t="shared" si="7"/>
        <v>1</v>
      </c>
      <c r="U194">
        <f t="shared" si="8"/>
        <v>1800</v>
      </c>
    </row>
    <row r="195" spans="2:21" x14ac:dyDescent="0.25">
      <c r="B195" t="s">
        <v>1</v>
      </c>
      <c r="C195" t="s">
        <v>8</v>
      </c>
      <c r="D195" s="1">
        <v>0.89583333333333337</v>
      </c>
      <c r="E195">
        <v>0</v>
      </c>
      <c r="F195">
        <v>0</v>
      </c>
      <c r="G195">
        <v>2</v>
      </c>
      <c r="H195">
        <v>0</v>
      </c>
      <c r="I195" t="e">
        <v>#NAME?</v>
      </c>
      <c r="J195">
        <v>1</v>
      </c>
      <c r="K195" t="e">
        <v>#NAME?</v>
      </c>
      <c r="L195">
        <v>2</v>
      </c>
      <c r="M195">
        <v>1</v>
      </c>
      <c r="N195">
        <v>-1</v>
      </c>
      <c r="O195" t="s">
        <v>72</v>
      </c>
      <c r="P195" t="s">
        <v>72</v>
      </c>
      <c r="Q195">
        <v>0</v>
      </c>
      <c r="R195">
        <v>0.1</v>
      </c>
      <c r="S195" t="str">
        <f t="shared" si="6"/>
        <v/>
      </c>
      <c r="T195" t="str">
        <f t="shared" si="7"/>
        <v/>
      </c>
      <c r="U195">
        <f t="shared" si="8"/>
        <v>1800</v>
      </c>
    </row>
    <row r="196" spans="2:21" x14ac:dyDescent="0.25">
      <c r="B196" t="s">
        <v>1</v>
      </c>
      <c r="C196" t="s">
        <v>9</v>
      </c>
      <c r="D196" s="1">
        <v>0.25</v>
      </c>
      <c r="E196">
        <v>0</v>
      </c>
      <c r="F196">
        <v>0</v>
      </c>
      <c r="G196">
        <v>2</v>
      </c>
      <c r="H196">
        <v>0</v>
      </c>
      <c r="I196" t="e">
        <v>#NAME?</v>
      </c>
      <c r="J196">
        <v>1</v>
      </c>
      <c r="K196" t="e">
        <v>#NAME?</v>
      </c>
      <c r="L196">
        <v>2</v>
      </c>
      <c r="M196">
        <v>0</v>
      </c>
      <c r="N196">
        <v>-2</v>
      </c>
      <c r="O196" t="s">
        <v>72</v>
      </c>
      <c r="P196" t="s">
        <v>72</v>
      </c>
      <c r="Q196" t="s">
        <v>72</v>
      </c>
      <c r="R196">
        <v>0.1</v>
      </c>
      <c r="S196" t="str">
        <f t="shared" si="6"/>
        <v/>
      </c>
      <c r="T196" t="str">
        <f t="shared" si="7"/>
        <v/>
      </c>
      <c r="U196">
        <f t="shared" si="8"/>
        <v>0</v>
      </c>
    </row>
    <row r="197" spans="2:21" x14ac:dyDescent="0.25">
      <c r="B197" t="s">
        <v>1</v>
      </c>
      <c r="C197" t="s">
        <v>9</v>
      </c>
      <c r="D197" s="1">
        <v>0.27083333333333331</v>
      </c>
      <c r="E197">
        <v>0</v>
      </c>
      <c r="F197">
        <v>0</v>
      </c>
      <c r="G197">
        <v>2</v>
      </c>
      <c r="H197">
        <v>0</v>
      </c>
      <c r="I197" t="e">
        <v>#NAME?</v>
      </c>
      <c r="J197">
        <v>1</v>
      </c>
      <c r="K197" t="e">
        <v>#NAME?</v>
      </c>
      <c r="L197">
        <v>2</v>
      </c>
      <c r="M197">
        <v>0</v>
      </c>
      <c r="N197">
        <v>-2</v>
      </c>
      <c r="O197" t="s">
        <v>72</v>
      </c>
      <c r="P197" t="s">
        <v>72</v>
      </c>
      <c r="Q197" t="s">
        <v>72</v>
      </c>
      <c r="R197">
        <v>0.1</v>
      </c>
      <c r="S197" t="str">
        <f t="shared" ref="S197:S260" si="9">IFERROR(O197*E197,"")</f>
        <v/>
      </c>
      <c r="T197" t="str">
        <f t="shared" ref="T197:T260" si="10">IFERROR(P197*E197,"")</f>
        <v/>
      </c>
      <c r="U197">
        <f t="shared" ref="U197:U227" si="11">+M197*1800</f>
        <v>0</v>
      </c>
    </row>
    <row r="198" spans="2:21" x14ac:dyDescent="0.25">
      <c r="B198" t="s">
        <v>1</v>
      </c>
      <c r="C198" t="s">
        <v>9</v>
      </c>
      <c r="D198" s="1">
        <v>0.29166666666666669</v>
      </c>
      <c r="E198">
        <v>0</v>
      </c>
      <c r="F198">
        <v>0</v>
      </c>
      <c r="G198">
        <v>2</v>
      </c>
      <c r="H198">
        <v>0</v>
      </c>
      <c r="I198" t="e">
        <v>#NAME?</v>
      </c>
      <c r="J198">
        <v>1</v>
      </c>
      <c r="K198" t="e">
        <v>#NAME?</v>
      </c>
      <c r="L198">
        <v>2</v>
      </c>
      <c r="M198">
        <v>0</v>
      </c>
      <c r="N198">
        <v>-2</v>
      </c>
      <c r="O198" t="s">
        <v>72</v>
      </c>
      <c r="P198" t="s">
        <v>72</v>
      </c>
      <c r="Q198" t="s">
        <v>72</v>
      </c>
      <c r="R198">
        <v>0.1</v>
      </c>
      <c r="S198" t="str">
        <f t="shared" si="9"/>
        <v/>
      </c>
      <c r="T198" t="str">
        <f t="shared" si="10"/>
        <v/>
      </c>
      <c r="U198">
        <f t="shared" si="11"/>
        <v>0</v>
      </c>
    </row>
    <row r="199" spans="2:21" x14ac:dyDescent="0.25">
      <c r="B199" t="s">
        <v>1</v>
      </c>
      <c r="C199" t="s">
        <v>9</v>
      </c>
      <c r="D199" s="1">
        <v>0.3125</v>
      </c>
      <c r="E199">
        <v>0</v>
      </c>
      <c r="F199">
        <v>0</v>
      </c>
      <c r="G199">
        <v>2</v>
      </c>
      <c r="H199">
        <v>0</v>
      </c>
      <c r="I199" t="e">
        <v>#NAME?</v>
      </c>
      <c r="J199">
        <v>1</v>
      </c>
      <c r="K199" t="e">
        <v>#NAME?</v>
      </c>
      <c r="L199">
        <v>2</v>
      </c>
      <c r="M199">
        <v>0</v>
      </c>
      <c r="N199">
        <v>-2</v>
      </c>
      <c r="O199" t="s">
        <v>72</v>
      </c>
      <c r="P199" t="s">
        <v>72</v>
      </c>
      <c r="Q199" t="s">
        <v>72</v>
      </c>
      <c r="R199">
        <v>0.1</v>
      </c>
      <c r="S199" t="str">
        <f t="shared" si="9"/>
        <v/>
      </c>
      <c r="T199" t="str">
        <f t="shared" si="10"/>
        <v/>
      </c>
      <c r="U199">
        <f t="shared" si="11"/>
        <v>0</v>
      </c>
    </row>
    <row r="200" spans="2:21" x14ac:dyDescent="0.25">
      <c r="B200" t="s">
        <v>1</v>
      </c>
      <c r="C200" t="s">
        <v>9</v>
      </c>
      <c r="D200" s="1">
        <v>0.33333333333333331</v>
      </c>
      <c r="E200">
        <v>3</v>
      </c>
      <c r="F200">
        <v>900</v>
      </c>
      <c r="G200">
        <v>2</v>
      </c>
      <c r="H200">
        <v>1.5</v>
      </c>
      <c r="I200" t="e">
        <v>#NAME?</v>
      </c>
      <c r="J200">
        <v>2</v>
      </c>
      <c r="K200" t="e">
        <v>#NAME?</v>
      </c>
      <c r="L200">
        <v>3</v>
      </c>
      <c r="M200">
        <v>1</v>
      </c>
      <c r="N200">
        <v>-2</v>
      </c>
      <c r="O200">
        <v>1</v>
      </c>
      <c r="P200">
        <v>1</v>
      </c>
      <c r="Q200">
        <v>0.5</v>
      </c>
      <c r="R200">
        <v>0.1</v>
      </c>
      <c r="S200">
        <f t="shared" si="9"/>
        <v>3</v>
      </c>
      <c r="T200">
        <f t="shared" si="10"/>
        <v>3</v>
      </c>
      <c r="U200">
        <f t="shared" si="11"/>
        <v>1800</v>
      </c>
    </row>
    <row r="201" spans="2:21" x14ac:dyDescent="0.25">
      <c r="B201" t="s">
        <v>1</v>
      </c>
      <c r="C201" t="s">
        <v>9</v>
      </c>
      <c r="D201" s="1">
        <v>0.35416666666666669</v>
      </c>
      <c r="E201">
        <v>4</v>
      </c>
      <c r="F201">
        <v>900</v>
      </c>
      <c r="G201">
        <v>2</v>
      </c>
      <c r="H201">
        <v>2</v>
      </c>
      <c r="I201" t="e">
        <v>#NAME?</v>
      </c>
      <c r="J201">
        <v>2</v>
      </c>
      <c r="K201" t="e">
        <v>#NAME?</v>
      </c>
      <c r="L201">
        <v>3</v>
      </c>
      <c r="M201">
        <v>1</v>
      </c>
      <c r="N201">
        <v>-2</v>
      </c>
      <c r="O201">
        <v>1</v>
      </c>
      <c r="P201">
        <v>1</v>
      </c>
      <c r="Q201">
        <v>0.66666666666666663</v>
      </c>
      <c r="R201">
        <v>0.1</v>
      </c>
      <c r="S201">
        <f t="shared" si="9"/>
        <v>4</v>
      </c>
      <c r="T201">
        <f t="shared" si="10"/>
        <v>4</v>
      </c>
      <c r="U201">
        <f t="shared" si="11"/>
        <v>1800</v>
      </c>
    </row>
    <row r="202" spans="2:21" x14ac:dyDescent="0.25">
      <c r="B202" t="s">
        <v>1</v>
      </c>
      <c r="C202" t="s">
        <v>9</v>
      </c>
      <c r="D202" s="1">
        <v>0.375</v>
      </c>
      <c r="E202">
        <v>3</v>
      </c>
      <c r="F202">
        <v>900</v>
      </c>
      <c r="G202">
        <v>2</v>
      </c>
      <c r="H202">
        <v>1.5</v>
      </c>
      <c r="I202" t="e">
        <v>#NAME?</v>
      </c>
      <c r="J202">
        <v>2</v>
      </c>
      <c r="K202" t="e">
        <v>#NAME?</v>
      </c>
      <c r="L202">
        <v>3</v>
      </c>
      <c r="M202">
        <v>3</v>
      </c>
      <c r="N202">
        <v>0</v>
      </c>
      <c r="O202">
        <v>0.94676727056503296</v>
      </c>
      <c r="P202">
        <v>1</v>
      </c>
      <c r="Q202">
        <v>0.16666666666666666</v>
      </c>
      <c r="R202">
        <v>0.1</v>
      </c>
      <c r="S202">
        <f t="shared" si="9"/>
        <v>2.8403018116950989</v>
      </c>
      <c r="T202">
        <f t="shared" si="10"/>
        <v>3</v>
      </c>
      <c r="U202">
        <f t="shared" si="11"/>
        <v>5400</v>
      </c>
    </row>
    <row r="203" spans="2:21" x14ac:dyDescent="0.25">
      <c r="B203" t="s">
        <v>1</v>
      </c>
      <c r="C203" t="s">
        <v>9</v>
      </c>
      <c r="D203" s="1">
        <v>0.39583333333333331</v>
      </c>
      <c r="E203">
        <v>3</v>
      </c>
      <c r="F203">
        <v>900</v>
      </c>
      <c r="G203">
        <v>2</v>
      </c>
      <c r="H203">
        <v>1.5</v>
      </c>
      <c r="I203" t="e">
        <v>#NAME?</v>
      </c>
      <c r="J203">
        <v>2</v>
      </c>
      <c r="K203" t="e">
        <v>#NAME?</v>
      </c>
      <c r="L203">
        <v>3</v>
      </c>
      <c r="M203">
        <v>3</v>
      </c>
      <c r="N203">
        <v>0</v>
      </c>
      <c r="O203">
        <v>0.94676727056503296</v>
      </c>
      <c r="P203">
        <v>1</v>
      </c>
      <c r="Q203">
        <v>0.16666666666666666</v>
      </c>
      <c r="R203">
        <v>0.1</v>
      </c>
      <c r="S203">
        <f t="shared" si="9"/>
        <v>2.8403018116950989</v>
      </c>
      <c r="T203">
        <f t="shared" si="10"/>
        <v>3</v>
      </c>
      <c r="U203">
        <f t="shared" si="11"/>
        <v>5400</v>
      </c>
    </row>
    <row r="204" spans="2:21" x14ac:dyDescent="0.25">
      <c r="B204" t="s">
        <v>1</v>
      </c>
      <c r="C204" t="s">
        <v>9</v>
      </c>
      <c r="D204" s="1">
        <v>0.41666666666666669</v>
      </c>
      <c r="E204">
        <v>3</v>
      </c>
      <c r="F204">
        <v>900</v>
      </c>
      <c r="G204">
        <v>2</v>
      </c>
      <c r="H204">
        <v>1.5</v>
      </c>
      <c r="I204" t="e">
        <v>#NAME?</v>
      </c>
      <c r="J204">
        <v>2</v>
      </c>
      <c r="K204" t="e">
        <v>#NAME?</v>
      </c>
      <c r="L204">
        <v>3</v>
      </c>
      <c r="M204">
        <v>3</v>
      </c>
      <c r="N204">
        <v>0</v>
      </c>
      <c r="O204">
        <v>0.94676727056503296</v>
      </c>
      <c r="P204">
        <v>1</v>
      </c>
      <c r="Q204">
        <v>0.16666666666666666</v>
      </c>
      <c r="R204">
        <v>0.1</v>
      </c>
      <c r="S204">
        <f t="shared" si="9"/>
        <v>2.8403018116950989</v>
      </c>
      <c r="T204">
        <f t="shared" si="10"/>
        <v>3</v>
      </c>
      <c r="U204">
        <f t="shared" si="11"/>
        <v>5400</v>
      </c>
    </row>
    <row r="205" spans="2:21" x14ac:dyDescent="0.25">
      <c r="B205" t="s">
        <v>1</v>
      </c>
      <c r="C205" t="s">
        <v>9</v>
      </c>
      <c r="D205" s="1">
        <v>0.4375</v>
      </c>
      <c r="E205">
        <v>3</v>
      </c>
      <c r="F205">
        <v>900</v>
      </c>
      <c r="G205">
        <v>2</v>
      </c>
      <c r="H205">
        <v>1.5</v>
      </c>
      <c r="I205" t="e">
        <v>#NAME?</v>
      </c>
      <c r="J205">
        <v>2</v>
      </c>
      <c r="K205" t="e">
        <v>#NAME?</v>
      </c>
      <c r="L205">
        <v>3</v>
      </c>
      <c r="M205">
        <v>3</v>
      </c>
      <c r="N205">
        <v>0</v>
      </c>
      <c r="O205">
        <v>0.94676727056503296</v>
      </c>
      <c r="P205">
        <v>1</v>
      </c>
      <c r="Q205">
        <v>0.16666666666666666</v>
      </c>
      <c r="R205">
        <v>0.1</v>
      </c>
      <c r="S205">
        <f t="shared" si="9"/>
        <v>2.8403018116950989</v>
      </c>
      <c r="T205">
        <f t="shared" si="10"/>
        <v>3</v>
      </c>
      <c r="U205">
        <f t="shared" si="11"/>
        <v>5400</v>
      </c>
    </row>
    <row r="206" spans="2:21" x14ac:dyDescent="0.25">
      <c r="B206" t="s">
        <v>1</v>
      </c>
      <c r="C206" t="s">
        <v>9</v>
      </c>
      <c r="D206" s="1">
        <v>0.45833333333333331</v>
      </c>
      <c r="E206">
        <v>2</v>
      </c>
      <c r="F206">
        <v>900</v>
      </c>
      <c r="G206">
        <v>2</v>
      </c>
      <c r="H206">
        <v>1</v>
      </c>
      <c r="I206" t="e">
        <v>#NAME?</v>
      </c>
      <c r="J206">
        <v>2</v>
      </c>
      <c r="K206" t="e">
        <v>#NAME?</v>
      </c>
      <c r="L206">
        <v>3</v>
      </c>
      <c r="M206">
        <v>3</v>
      </c>
      <c r="N206">
        <v>0</v>
      </c>
      <c r="O206">
        <v>0.97460842132568359</v>
      </c>
      <c r="P206">
        <v>1</v>
      </c>
      <c r="Q206">
        <v>0.1111111111111111</v>
      </c>
      <c r="R206">
        <v>0.1</v>
      </c>
      <c r="S206">
        <f t="shared" si="9"/>
        <v>1.9492168426513672</v>
      </c>
      <c r="T206">
        <f t="shared" si="10"/>
        <v>2</v>
      </c>
      <c r="U206">
        <f t="shared" si="11"/>
        <v>5400</v>
      </c>
    </row>
    <row r="207" spans="2:21" x14ac:dyDescent="0.25">
      <c r="B207" t="s">
        <v>1</v>
      </c>
      <c r="C207" t="s">
        <v>9</v>
      </c>
      <c r="D207" s="1">
        <v>0.47916666666666669</v>
      </c>
      <c r="E207">
        <v>1</v>
      </c>
      <c r="F207">
        <v>900</v>
      </c>
      <c r="G207">
        <v>2</v>
      </c>
      <c r="H207">
        <v>0.5</v>
      </c>
      <c r="I207" t="e">
        <v>#NAME?</v>
      </c>
      <c r="J207">
        <v>1</v>
      </c>
      <c r="K207" t="e">
        <v>#NAME?</v>
      </c>
      <c r="L207">
        <v>2</v>
      </c>
      <c r="M207">
        <v>3</v>
      </c>
      <c r="N207">
        <v>1</v>
      </c>
      <c r="O207">
        <v>0.99317312240600586</v>
      </c>
      <c r="P207">
        <v>1</v>
      </c>
      <c r="Q207">
        <v>5.5555555555555552E-2</v>
      </c>
      <c r="R207">
        <v>0.1</v>
      </c>
      <c r="S207">
        <f t="shared" si="9"/>
        <v>0.99317312240600586</v>
      </c>
      <c r="T207">
        <f t="shared" si="10"/>
        <v>1</v>
      </c>
      <c r="U207">
        <f t="shared" si="11"/>
        <v>5400</v>
      </c>
    </row>
    <row r="208" spans="2:21" x14ac:dyDescent="0.25">
      <c r="B208" t="s">
        <v>1</v>
      </c>
      <c r="C208" t="s">
        <v>9</v>
      </c>
      <c r="D208" s="1">
        <v>0.5</v>
      </c>
      <c r="E208">
        <v>3</v>
      </c>
      <c r="F208">
        <v>900</v>
      </c>
      <c r="G208">
        <v>2</v>
      </c>
      <c r="H208">
        <v>1.5</v>
      </c>
      <c r="I208" t="e">
        <v>#NAME?</v>
      </c>
      <c r="J208">
        <v>2</v>
      </c>
      <c r="K208" t="e">
        <v>#NAME?</v>
      </c>
      <c r="L208">
        <v>3</v>
      </c>
      <c r="M208">
        <v>3</v>
      </c>
      <c r="N208">
        <v>0</v>
      </c>
      <c r="O208">
        <v>0.94676727056503296</v>
      </c>
      <c r="P208">
        <v>1</v>
      </c>
      <c r="Q208">
        <v>0.16666666666666666</v>
      </c>
      <c r="R208">
        <v>0.1</v>
      </c>
      <c r="S208">
        <f t="shared" si="9"/>
        <v>2.8403018116950989</v>
      </c>
      <c r="T208">
        <f t="shared" si="10"/>
        <v>3</v>
      </c>
      <c r="U208">
        <f t="shared" si="11"/>
        <v>5400</v>
      </c>
    </row>
    <row r="209" spans="2:21" x14ac:dyDescent="0.25">
      <c r="B209" t="s">
        <v>1</v>
      </c>
      <c r="C209" t="s">
        <v>9</v>
      </c>
      <c r="D209" s="1">
        <v>0.52083333333333337</v>
      </c>
      <c r="E209">
        <v>0</v>
      </c>
      <c r="F209">
        <v>0</v>
      </c>
      <c r="G209">
        <v>2</v>
      </c>
      <c r="H209">
        <v>0</v>
      </c>
      <c r="I209" t="e">
        <v>#NAME?</v>
      </c>
      <c r="J209">
        <v>1</v>
      </c>
      <c r="K209" t="e">
        <v>#NAME?</v>
      </c>
      <c r="L209">
        <v>2</v>
      </c>
      <c r="M209">
        <v>3</v>
      </c>
      <c r="N209">
        <v>1</v>
      </c>
      <c r="O209" t="s">
        <v>72</v>
      </c>
      <c r="P209" t="s">
        <v>72</v>
      </c>
      <c r="Q209">
        <v>0</v>
      </c>
      <c r="R209">
        <v>0.1</v>
      </c>
      <c r="S209" t="str">
        <f t="shared" si="9"/>
        <v/>
      </c>
      <c r="T209" t="str">
        <f t="shared" si="10"/>
        <v/>
      </c>
      <c r="U209">
        <f t="shared" si="11"/>
        <v>5400</v>
      </c>
    </row>
    <row r="210" spans="2:21" x14ac:dyDescent="0.25">
      <c r="B210" t="s">
        <v>1</v>
      </c>
      <c r="C210" t="s">
        <v>9</v>
      </c>
      <c r="D210" s="1">
        <v>0.54166666666666663</v>
      </c>
      <c r="E210">
        <v>1</v>
      </c>
      <c r="F210">
        <v>900</v>
      </c>
      <c r="G210">
        <v>2</v>
      </c>
      <c r="H210">
        <v>0.5</v>
      </c>
      <c r="I210" t="e">
        <v>#NAME?</v>
      </c>
      <c r="J210">
        <v>1</v>
      </c>
      <c r="K210" t="e">
        <v>#NAME?</v>
      </c>
      <c r="L210">
        <v>2</v>
      </c>
      <c r="M210">
        <v>2</v>
      </c>
      <c r="N210">
        <v>0</v>
      </c>
      <c r="O210">
        <v>0.88590580224990845</v>
      </c>
      <c r="P210">
        <v>1</v>
      </c>
      <c r="Q210">
        <v>8.3333333333333329E-2</v>
      </c>
      <c r="R210">
        <v>0.1</v>
      </c>
      <c r="S210">
        <f t="shared" si="9"/>
        <v>0.88590580224990845</v>
      </c>
      <c r="T210">
        <f t="shared" si="10"/>
        <v>1</v>
      </c>
      <c r="U210">
        <f t="shared" si="11"/>
        <v>3600</v>
      </c>
    </row>
    <row r="211" spans="2:21" x14ac:dyDescent="0.25">
      <c r="B211" t="s">
        <v>1</v>
      </c>
      <c r="C211" t="s">
        <v>9</v>
      </c>
      <c r="D211" s="1">
        <v>0.5625</v>
      </c>
      <c r="E211">
        <v>1</v>
      </c>
      <c r="F211">
        <v>900</v>
      </c>
      <c r="G211">
        <v>2</v>
      </c>
      <c r="H211">
        <v>0.5</v>
      </c>
      <c r="I211" t="e">
        <v>#NAME?</v>
      </c>
      <c r="J211">
        <v>1</v>
      </c>
      <c r="K211" t="e">
        <v>#NAME?</v>
      </c>
      <c r="L211">
        <v>2</v>
      </c>
      <c r="M211">
        <v>2</v>
      </c>
      <c r="N211">
        <v>0</v>
      </c>
      <c r="O211">
        <v>0.88590580224990845</v>
      </c>
      <c r="P211">
        <v>1</v>
      </c>
      <c r="Q211">
        <v>8.3333333333333329E-2</v>
      </c>
      <c r="R211">
        <v>0.1</v>
      </c>
      <c r="S211">
        <f t="shared" si="9"/>
        <v>0.88590580224990845</v>
      </c>
      <c r="T211">
        <f t="shared" si="10"/>
        <v>1</v>
      </c>
      <c r="U211">
        <f t="shared" si="11"/>
        <v>3600</v>
      </c>
    </row>
    <row r="212" spans="2:21" x14ac:dyDescent="0.25">
      <c r="B212" t="s">
        <v>1</v>
      </c>
      <c r="C212" t="s">
        <v>9</v>
      </c>
      <c r="D212" s="1">
        <v>0.58333333333333337</v>
      </c>
      <c r="E212">
        <v>0</v>
      </c>
      <c r="F212">
        <v>0</v>
      </c>
      <c r="G212">
        <v>2</v>
      </c>
      <c r="H212">
        <v>0</v>
      </c>
      <c r="I212" t="e">
        <v>#NAME?</v>
      </c>
      <c r="J212">
        <v>1</v>
      </c>
      <c r="K212" t="e">
        <v>#NAME?</v>
      </c>
      <c r="L212">
        <v>2</v>
      </c>
      <c r="M212">
        <v>1</v>
      </c>
      <c r="N212">
        <v>-1</v>
      </c>
      <c r="O212" t="s">
        <v>72</v>
      </c>
      <c r="P212" t="s">
        <v>72</v>
      </c>
      <c r="Q212">
        <v>0</v>
      </c>
      <c r="R212">
        <v>0.1</v>
      </c>
      <c r="S212" t="str">
        <f t="shared" si="9"/>
        <v/>
      </c>
      <c r="T212" t="str">
        <f t="shared" si="10"/>
        <v/>
      </c>
      <c r="U212">
        <f t="shared" si="11"/>
        <v>1800</v>
      </c>
    </row>
    <row r="213" spans="2:21" x14ac:dyDescent="0.25">
      <c r="B213" t="s">
        <v>1</v>
      </c>
      <c r="C213" t="s">
        <v>9</v>
      </c>
      <c r="D213" s="1">
        <v>0.60416666666666663</v>
      </c>
      <c r="E213">
        <v>0</v>
      </c>
      <c r="F213">
        <v>0</v>
      </c>
      <c r="G213">
        <v>2</v>
      </c>
      <c r="H213">
        <v>0</v>
      </c>
      <c r="I213" t="e">
        <v>#NAME?</v>
      </c>
      <c r="J213">
        <v>1</v>
      </c>
      <c r="K213" t="e">
        <v>#NAME?</v>
      </c>
      <c r="L213">
        <v>2</v>
      </c>
      <c r="M213">
        <v>1</v>
      </c>
      <c r="N213">
        <v>-1</v>
      </c>
      <c r="O213" t="s">
        <v>72</v>
      </c>
      <c r="P213" t="s">
        <v>72</v>
      </c>
      <c r="Q213">
        <v>0</v>
      </c>
      <c r="R213">
        <v>0.1</v>
      </c>
      <c r="S213" t="str">
        <f t="shared" si="9"/>
        <v/>
      </c>
      <c r="T213" t="str">
        <f t="shared" si="10"/>
        <v/>
      </c>
      <c r="U213">
        <f t="shared" si="11"/>
        <v>1800</v>
      </c>
    </row>
    <row r="214" spans="2:21" x14ac:dyDescent="0.25">
      <c r="B214" t="s">
        <v>1</v>
      </c>
      <c r="C214" t="s">
        <v>9</v>
      </c>
      <c r="D214" s="1">
        <v>0.625</v>
      </c>
      <c r="E214">
        <v>0</v>
      </c>
      <c r="F214">
        <v>0</v>
      </c>
      <c r="G214">
        <v>2</v>
      </c>
      <c r="H214">
        <v>0</v>
      </c>
      <c r="I214" t="e">
        <v>#NAME?</v>
      </c>
      <c r="J214">
        <v>1</v>
      </c>
      <c r="K214" t="e">
        <v>#NAME?</v>
      </c>
      <c r="L214">
        <v>2</v>
      </c>
      <c r="M214">
        <v>1</v>
      </c>
      <c r="N214">
        <v>-1</v>
      </c>
      <c r="O214" t="s">
        <v>72</v>
      </c>
      <c r="P214" t="s">
        <v>72</v>
      </c>
      <c r="Q214">
        <v>0</v>
      </c>
      <c r="R214">
        <v>0.1</v>
      </c>
      <c r="S214" t="str">
        <f t="shared" si="9"/>
        <v/>
      </c>
      <c r="T214" t="str">
        <f t="shared" si="10"/>
        <v/>
      </c>
      <c r="U214">
        <f t="shared" si="11"/>
        <v>1800</v>
      </c>
    </row>
    <row r="215" spans="2:21" x14ac:dyDescent="0.25">
      <c r="B215" t="s">
        <v>1</v>
      </c>
      <c r="C215" t="s">
        <v>9</v>
      </c>
      <c r="D215" s="1">
        <v>0.64583333333333337</v>
      </c>
      <c r="E215">
        <v>0</v>
      </c>
      <c r="F215">
        <v>0</v>
      </c>
      <c r="G215">
        <v>2</v>
      </c>
      <c r="H215">
        <v>0</v>
      </c>
      <c r="I215" t="e">
        <v>#NAME?</v>
      </c>
      <c r="J215">
        <v>1</v>
      </c>
      <c r="K215" t="e">
        <v>#NAME?</v>
      </c>
      <c r="L215">
        <v>2</v>
      </c>
      <c r="M215">
        <v>1</v>
      </c>
      <c r="N215">
        <v>-1</v>
      </c>
      <c r="O215" t="s">
        <v>72</v>
      </c>
      <c r="P215" t="s">
        <v>72</v>
      </c>
      <c r="Q215">
        <v>0</v>
      </c>
      <c r="R215">
        <v>0.1</v>
      </c>
      <c r="S215" t="str">
        <f t="shared" si="9"/>
        <v/>
      </c>
      <c r="T215" t="str">
        <f t="shared" si="10"/>
        <v/>
      </c>
      <c r="U215">
        <f t="shared" si="11"/>
        <v>1800</v>
      </c>
    </row>
    <row r="216" spans="2:21" x14ac:dyDescent="0.25">
      <c r="B216" t="s">
        <v>1</v>
      </c>
      <c r="C216" t="s">
        <v>9</v>
      </c>
      <c r="D216" s="1">
        <v>0.66666666666666663</v>
      </c>
      <c r="E216">
        <v>0</v>
      </c>
      <c r="F216">
        <v>0</v>
      </c>
      <c r="G216">
        <v>2</v>
      </c>
      <c r="H216">
        <v>0</v>
      </c>
      <c r="I216" t="e">
        <v>#NAME?</v>
      </c>
      <c r="J216">
        <v>1</v>
      </c>
      <c r="K216" t="e">
        <v>#NAME?</v>
      </c>
      <c r="L216">
        <v>2</v>
      </c>
      <c r="M216">
        <v>0</v>
      </c>
      <c r="N216">
        <v>-2</v>
      </c>
      <c r="O216" t="s">
        <v>72</v>
      </c>
      <c r="P216" t="s">
        <v>72</v>
      </c>
      <c r="Q216" t="s">
        <v>72</v>
      </c>
      <c r="R216">
        <v>0.1</v>
      </c>
      <c r="S216" t="str">
        <f t="shared" si="9"/>
        <v/>
      </c>
      <c r="T216" t="str">
        <f t="shared" si="10"/>
        <v/>
      </c>
      <c r="U216">
        <f t="shared" si="11"/>
        <v>0</v>
      </c>
    </row>
    <row r="217" spans="2:21" x14ac:dyDescent="0.25">
      <c r="B217" t="s">
        <v>1</v>
      </c>
      <c r="C217" t="s">
        <v>9</v>
      </c>
      <c r="D217" s="1">
        <v>0.6875</v>
      </c>
      <c r="E217">
        <v>0</v>
      </c>
      <c r="F217">
        <v>0</v>
      </c>
      <c r="G217">
        <v>2</v>
      </c>
      <c r="H217">
        <v>0</v>
      </c>
      <c r="I217" t="e">
        <v>#NAME?</v>
      </c>
      <c r="J217">
        <v>1</v>
      </c>
      <c r="K217" t="e">
        <v>#NAME?</v>
      </c>
      <c r="L217">
        <v>2</v>
      </c>
      <c r="M217">
        <v>0</v>
      </c>
      <c r="N217">
        <v>-2</v>
      </c>
      <c r="O217" t="s">
        <v>72</v>
      </c>
      <c r="P217" t="s">
        <v>72</v>
      </c>
      <c r="Q217" t="s">
        <v>72</v>
      </c>
      <c r="R217">
        <v>0.1</v>
      </c>
      <c r="S217" t="str">
        <f t="shared" si="9"/>
        <v/>
      </c>
      <c r="T217" t="str">
        <f t="shared" si="10"/>
        <v/>
      </c>
      <c r="U217">
        <f t="shared" si="11"/>
        <v>0</v>
      </c>
    </row>
    <row r="218" spans="2:21" x14ac:dyDescent="0.25">
      <c r="B218" t="s">
        <v>1</v>
      </c>
      <c r="C218" t="s">
        <v>9</v>
      </c>
      <c r="D218" s="1">
        <v>0.70833333333333337</v>
      </c>
      <c r="E218">
        <v>0</v>
      </c>
      <c r="F218">
        <v>0</v>
      </c>
      <c r="G218">
        <v>2</v>
      </c>
      <c r="H218">
        <v>0</v>
      </c>
      <c r="I218" t="e">
        <v>#NAME?</v>
      </c>
      <c r="J218">
        <v>1</v>
      </c>
      <c r="K218" t="e">
        <v>#NAME?</v>
      </c>
      <c r="L218">
        <v>2</v>
      </c>
      <c r="M218">
        <v>0</v>
      </c>
      <c r="N218">
        <v>-2</v>
      </c>
      <c r="O218" t="s">
        <v>72</v>
      </c>
      <c r="P218" t="s">
        <v>72</v>
      </c>
      <c r="Q218" t="s">
        <v>72</v>
      </c>
      <c r="R218">
        <v>0.1</v>
      </c>
      <c r="S218" t="str">
        <f t="shared" si="9"/>
        <v/>
      </c>
      <c r="T218" t="str">
        <f t="shared" si="10"/>
        <v/>
      </c>
      <c r="U218">
        <f t="shared" si="11"/>
        <v>0</v>
      </c>
    </row>
    <row r="219" spans="2:21" x14ac:dyDescent="0.25">
      <c r="B219" t="s">
        <v>1</v>
      </c>
      <c r="C219" t="s">
        <v>9</v>
      </c>
      <c r="D219" s="1">
        <v>0.72916666666666663</v>
      </c>
      <c r="E219">
        <v>0</v>
      </c>
      <c r="F219">
        <v>0</v>
      </c>
      <c r="G219">
        <v>2</v>
      </c>
      <c r="H219">
        <v>0</v>
      </c>
      <c r="I219" t="e">
        <v>#NAME?</v>
      </c>
      <c r="J219">
        <v>1</v>
      </c>
      <c r="K219" t="e">
        <v>#NAME?</v>
      </c>
      <c r="L219">
        <v>2</v>
      </c>
      <c r="M219">
        <v>0</v>
      </c>
      <c r="N219">
        <v>-2</v>
      </c>
      <c r="O219" t="s">
        <v>72</v>
      </c>
      <c r="P219" t="s">
        <v>72</v>
      </c>
      <c r="Q219" t="s">
        <v>72</v>
      </c>
      <c r="R219">
        <v>0.1</v>
      </c>
      <c r="S219" t="str">
        <f t="shared" si="9"/>
        <v/>
      </c>
      <c r="T219" t="str">
        <f t="shared" si="10"/>
        <v/>
      </c>
      <c r="U219">
        <f t="shared" si="11"/>
        <v>0</v>
      </c>
    </row>
    <row r="220" spans="2:21" x14ac:dyDescent="0.25">
      <c r="B220" t="s">
        <v>1</v>
      </c>
      <c r="C220" t="s">
        <v>9</v>
      </c>
      <c r="D220" s="1">
        <v>0.75</v>
      </c>
      <c r="E220">
        <v>0</v>
      </c>
      <c r="F220">
        <v>0</v>
      </c>
      <c r="G220">
        <v>2</v>
      </c>
      <c r="H220">
        <v>0</v>
      </c>
      <c r="I220" t="e">
        <v>#NAME?</v>
      </c>
      <c r="J220">
        <v>1</v>
      </c>
      <c r="K220" t="e">
        <v>#NAME?</v>
      </c>
      <c r="L220">
        <v>2</v>
      </c>
      <c r="M220">
        <v>0</v>
      </c>
      <c r="N220">
        <v>-2</v>
      </c>
      <c r="O220" t="s">
        <v>72</v>
      </c>
      <c r="P220" t="s">
        <v>72</v>
      </c>
      <c r="Q220" t="s">
        <v>72</v>
      </c>
      <c r="R220">
        <v>0.1</v>
      </c>
      <c r="S220" t="str">
        <f t="shared" si="9"/>
        <v/>
      </c>
      <c r="T220" t="str">
        <f t="shared" si="10"/>
        <v/>
      </c>
      <c r="U220">
        <f t="shared" si="11"/>
        <v>0</v>
      </c>
    </row>
    <row r="221" spans="2:21" x14ac:dyDescent="0.25">
      <c r="B221" t="s">
        <v>1</v>
      </c>
      <c r="C221" t="s">
        <v>9</v>
      </c>
      <c r="D221" s="1">
        <v>0.77083333333333337</v>
      </c>
      <c r="E221">
        <v>0</v>
      </c>
      <c r="F221">
        <v>0</v>
      </c>
      <c r="G221">
        <v>2</v>
      </c>
      <c r="H221">
        <v>0</v>
      </c>
      <c r="I221" t="e">
        <v>#NAME?</v>
      </c>
      <c r="J221">
        <v>1</v>
      </c>
      <c r="K221" t="e">
        <v>#NAME?</v>
      </c>
      <c r="L221">
        <v>2</v>
      </c>
      <c r="M221">
        <v>0</v>
      </c>
      <c r="N221">
        <v>-2</v>
      </c>
      <c r="O221" t="s">
        <v>72</v>
      </c>
      <c r="P221" t="s">
        <v>72</v>
      </c>
      <c r="Q221" t="s">
        <v>72</v>
      </c>
      <c r="R221">
        <v>0.1</v>
      </c>
      <c r="S221" t="str">
        <f t="shared" si="9"/>
        <v/>
      </c>
      <c r="T221" t="str">
        <f t="shared" si="10"/>
        <v/>
      </c>
      <c r="U221">
        <f t="shared" si="11"/>
        <v>0</v>
      </c>
    </row>
    <row r="222" spans="2:21" x14ac:dyDescent="0.25">
      <c r="B222" t="s">
        <v>1</v>
      </c>
      <c r="C222" t="s">
        <v>9</v>
      </c>
      <c r="D222" s="1">
        <v>0.79166666666666663</v>
      </c>
      <c r="E222">
        <v>0</v>
      </c>
      <c r="F222">
        <v>0</v>
      </c>
      <c r="G222">
        <v>2</v>
      </c>
      <c r="H222">
        <v>0</v>
      </c>
      <c r="I222" t="e">
        <v>#NAME?</v>
      </c>
      <c r="J222">
        <v>1</v>
      </c>
      <c r="K222" t="e">
        <v>#NAME?</v>
      </c>
      <c r="L222">
        <v>2</v>
      </c>
      <c r="M222">
        <v>0</v>
      </c>
      <c r="N222">
        <v>-2</v>
      </c>
      <c r="O222" t="s">
        <v>72</v>
      </c>
      <c r="P222" t="s">
        <v>72</v>
      </c>
      <c r="Q222" t="s">
        <v>72</v>
      </c>
      <c r="R222">
        <v>0.1</v>
      </c>
      <c r="S222" t="str">
        <f t="shared" si="9"/>
        <v/>
      </c>
      <c r="T222" t="str">
        <f t="shared" si="10"/>
        <v/>
      </c>
      <c r="U222">
        <f t="shared" si="11"/>
        <v>0</v>
      </c>
    </row>
    <row r="223" spans="2:21" x14ac:dyDescent="0.25">
      <c r="B223" t="s">
        <v>1</v>
      </c>
      <c r="C223" t="s">
        <v>9</v>
      </c>
      <c r="D223" s="1">
        <v>0.8125</v>
      </c>
      <c r="E223">
        <v>0</v>
      </c>
      <c r="F223">
        <v>0</v>
      </c>
      <c r="G223">
        <v>2</v>
      </c>
      <c r="H223">
        <v>0</v>
      </c>
      <c r="I223" t="e">
        <v>#NAME?</v>
      </c>
      <c r="J223">
        <v>1</v>
      </c>
      <c r="K223" t="e">
        <v>#NAME?</v>
      </c>
      <c r="L223">
        <v>2</v>
      </c>
      <c r="M223">
        <v>0</v>
      </c>
      <c r="N223">
        <v>-2</v>
      </c>
      <c r="O223" t="s">
        <v>72</v>
      </c>
      <c r="P223" t="s">
        <v>72</v>
      </c>
      <c r="Q223" t="s">
        <v>72</v>
      </c>
      <c r="R223">
        <v>0.1</v>
      </c>
      <c r="S223" t="str">
        <f t="shared" si="9"/>
        <v/>
      </c>
      <c r="T223" t="str">
        <f t="shared" si="10"/>
        <v/>
      </c>
      <c r="U223">
        <f t="shared" si="11"/>
        <v>0</v>
      </c>
    </row>
    <row r="224" spans="2:21" x14ac:dyDescent="0.25">
      <c r="B224" t="s">
        <v>1</v>
      </c>
      <c r="C224" t="s">
        <v>9</v>
      </c>
      <c r="D224" s="1">
        <v>0.83333333333333337</v>
      </c>
      <c r="E224">
        <v>0</v>
      </c>
      <c r="F224">
        <v>0</v>
      </c>
      <c r="G224">
        <v>2</v>
      </c>
      <c r="H224">
        <v>0</v>
      </c>
      <c r="I224" t="e">
        <v>#NAME?</v>
      </c>
      <c r="J224">
        <v>1</v>
      </c>
      <c r="K224" t="e">
        <v>#NAME?</v>
      </c>
      <c r="L224">
        <v>2</v>
      </c>
      <c r="M224">
        <v>0</v>
      </c>
      <c r="N224">
        <v>-2</v>
      </c>
      <c r="O224" t="s">
        <v>72</v>
      </c>
      <c r="P224" t="s">
        <v>72</v>
      </c>
      <c r="Q224" t="s">
        <v>72</v>
      </c>
      <c r="R224">
        <v>0.1</v>
      </c>
      <c r="S224" t="str">
        <f t="shared" si="9"/>
        <v/>
      </c>
      <c r="T224" t="str">
        <f t="shared" si="10"/>
        <v/>
      </c>
      <c r="U224">
        <f t="shared" si="11"/>
        <v>0</v>
      </c>
    </row>
    <row r="225" spans="2:21" x14ac:dyDescent="0.25">
      <c r="B225" t="s">
        <v>1</v>
      </c>
      <c r="C225" t="s">
        <v>9</v>
      </c>
      <c r="D225" s="1">
        <v>0.85416666666666663</v>
      </c>
      <c r="E225">
        <v>0</v>
      </c>
      <c r="F225">
        <v>0</v>
      </c>
      <c r="G225">
        <v>2</v>
      </c>
      <c r="H225">
        <v>0</v>
      </c>
      <c r="I225" t="e">
        <v>#NAME?</v>
      </c>
      <c r="J225">
        <v>1</v>
      </c>
      <c r="K225" t="e">
        <v>#NAME?</v>
      </c>
      <c r="L225">
        <v>2</v>
      </c>
      <c r="M225">
        <v>0</v>
      </c>
      <c r="N225">
        <v>-2</v>
      </c>
      <c r="O225" t="s">
        <v>72</v>
      </c>
      <c r="P225" t="s">
        <v>72</v>
      </c>
      <c r="Q225" t="s">
        <v>72</v>
      </c>
      <c r="R225">
        <v>0.1</v>
      </c>
      <c r="S225" t="str">
        <f t="shared" si="9"/>
        <v/>
      </c>
      <c r="T225" t="str">
        <f t="shared" si="10"/>
        <v/>
      </c>
      <c r="U225">
        <f t="shared" si="11"/>
        <v>0</v>
      </c>
    </row>
    <row r="226" spans="2:21" x14ac:dyDescent="0.25">
      <c r="B226" t="s">
        <v>1</v>
      </c>
      <c r="C226" t="s">
        <v>9</v>
      </c>
      <c r="D226" s="1">
        <v>0.875</v>
      </c>
      <c r="E226">
        <v>0</v>
      </c>
      <c r="F226">
        <v>0</v>
      </c>
      <c r="G226">
        <v>2</v>
      </c>
      <c r="H226">
        <v>0</v>
      </c>
      <c r="I226" t="e">
        <v>#NAME?</v>
      </c>
      <c r="J226">
        <v>1</v>
      </c>
      <c r="K226" t="e">
        <v>#NAME?</v>
      </c>
      <c r="L226">
        <v>2</v>
      </c>
      <c r="M226">
        <v>0</v>
      </c>
      <c r="N226">
        <v>-2</v>
      </c>
      <c r="O226" t="s">
        <v>72</v>
      </c>
      <c r="P226" t="s">
        <v>72</v>
      </c>
      <c r="Q226" t="s">
        <v>72</v>
      </c>
      <c r="R226">
        <v>0.1</v>
      </c>
      <c r="S226" t="str">
        <f t="shared" si="9"/>
        <v/>
      </c>
      <c r="T226" t="str">
        <f t="shared" si="10"/>
        <v/>
      </c>
      <c r="U226">
        <f t="shared" si="11"/>
        <v>0</v>
      </c>
    </row>
    <row r="227" spans="2:21" x14ac:dyDescent="0.25">
      <c r="B227" t="s">
        <v>1</v>
      </c>
      <c r="C227" t="s">
        <v>9</v>
      </c>
      <c r="D227" s="1">
        <v>0.89583333333333337</v>
      </c>
      <c r="E227">
        <v>0</v>
      </c>
      <c r="F227">
        <v>0</v>
      </c>
      <c r="G227">
        <v>2</v>
      </c>
      <c r="H227">
        <v>0</v>
      </c>
      <c r="I227" t="e">
        <v>#NAME?</v>
      </c>
      <c r="J227">
        <v>1</v>
      </c>
      <c r="K227" t="e">
        <v>#NAME?</v>
      </c>
      <c r="L227">
        <v>2</v>
      </c>
      <c r="M227">
        <v>0</v>
      </c>
      <c r="N227">
        <v>-2</v>
      </c>
      <c r="O227" t="s">
        <v>72</v>
      </c>
      <c r="P227" t="s">
        <v>72</v>
      </c>
      <c r="Q227" t="s">
        <v>72</v>
      </c>
      <c r="R227">
        <v>0.1</v>
      </c>
      <c r="S227" t="str">
        <f t="shared" si="9"/>
        <v/>
      </c>
      <c r="T227" t="str">
        <f t="shared" si="10"/>
        <v/>
      </c>
      <c r="U227">
        <f t="shared" si="11"/>
        <v>0</v>
      </c>
    </row>
    <row r="228" spans="2:21" x14ac:dyDescent="0.25">
      <c r="B228" t="s">
        <v>2</v>
      </c>
      <c r="C228" t="s">
        <v>3</v>
      </c>
      <c r="D228" s="1">
        <v>0.25</v>
      </c>
      <c r="E228">
        <v>0</v>
      </c>
      <c r="F228">
        <v>0</v>
      </c>
      <c r="G228">
        <v>2.7272727272727271</v>
      </c>
      <c r="H228">
        <v>0</v>
      </c>
      <c r="I228" t="e">
        <v>#NAME?</v>
      </c>
      <c r="J228">
        <v>1</v>
      </c>
      <c r="K228" t="e">
        <v>#NAME?</v>
      </c>
      <c r="L228">
        <v>2</v>
      </c>
      <c r="M228">
        <v>2</v>
      </c>
      <c r="N228">
        <v>0</v>
      </c>
      <c r="O228" t="s">
        <v>72</v>
      </c>
      <c r="P228" t="s">
        <v>72</v>
      </c>
      <c r="Q228">
        <v>0</v>
      </c>
      <c r="R228">
        <v>20</v>
      </c>
      <c r="S228" t="str">
        <f t="shared" si="9"/>
        <v/>
      </c>
      <c r="T228" t="str">
        <f t="shared" si="10"/>
        <v/>
      </c>
      <c r="U228">
        <f t="shared" ref="U228" si="12">+M228*1800</f>
        <v>3600</v>
      </c>
    </row>
    <row r="229" spans="2:21" x14ac:dyDescent="0.25">
      <c r="B229" t="s">
        <v>2</v>
      </c>
      <c r="C229" t="s">
        <v>3</v>
      </c>
      <c r="D229" s="1">
        <v>0.27083333333333331</v>
      </c>
      <c r="E229">
        <v>3</v>
      </c>
      <c r="F229">
        <v>660</v>
      </c>
      <c r="G229">
        <v>2.7272727272727271</v>
      </c>
      <c r="H229">
        <v>1.1000000000000001</v>
      </c>
      <c r="I229" t="e">
        <v>#NAME?</v>
      </c>
      <c r="J229">
        <v>3</v>
      </c>
      <c r="K229" t="e">
        <v>#NAME?</v>
      </c>
      <c r="L229">
        <v>4</v>
      </c>
      <c r="M229">
        <v>2</v>
      </c>
      <c r="N229">
        <v>-2</v>
      </c>
      <c r="O229">
        <v>0.27670058608055115</v>
      </c>
      <c r="P229">
        <v>1</v>
      </c>
      <c r="Q229">
        <v>0.55000000000000004</v>
      </c>
      <c r="R229">
        <v>20</v>
      </c>
      <c r="S229">
        <f t="shared" si="9"/>
        <v>0.83010175824165344</v>
      </c>
      <c r="T229">
        <f t="shared" si="10"/>
        <v>3</v>
      </c>
      <c r="U229">
        <f t="shared" ref="U229:U292" si="13">+M229*1800</f>
        <v>3600</v>
      </c>
    </row>
    <row r="230" spans="2:21" x14ac:dyDescent="0.25">
      <c r="B230" t="s">
        <v>2</v>
      </c>
      <c r="C230" t="s">
        <v>3</v>
      </c>
      <c r="D230" s="1">
        <v>0.29166666666666669</v>
      </c>
      <c r="E230">
        <v>4</v>
      </c>
      <c r="F230">
        <v>660</v>
      </c>
      <c r="G230">
        <v>2.7272727272727271</v>
      </c>
      <c r="H230">
        <v>1.4666666666666668</v>
      </c>
      <c r="I230" t="e">
        <v>#NAME?</v>
      </c>
      <c r="J230">
        <v>4</v>
      </c>
      <c r="K230" t="e">
        <v>#NAME?</v>
      </c>
      <c r="L230">
        <v>5</v>
      </c>
      <c r="M230">
        <v>5</v>
      </c>
      <c r="N230">
        <v>0</v>
      </c>
      <c r="O230">
        <v>0.94007736444473267</v>
      </c>
      <c r="P230">
        <v>1</v>
      </c>
      <c r="Q230">
        <v>0.29333333333333333</v>
      </c>
      <c r="R230">
        <v>17</v>
      </c>
      <c r="S230">
        <f t="shared" si="9"/>
        <v>3.7603094577789307</v>
      </c>
      <c r="T230">
        <f t="shared" si="10"/>
        <v>4</v>
      </c>
      <c r="U230">
        <f t="shared" si="13"/>
        <v>9000</v>
      </c>
    </row>
    <row r="231" spans="2:21" x14ac:dyDescent="0.25">
      <c r="B231" t="s">
        <v>2</v>
      </c>
      <c r="C231" t="s">
        <v>3</v>
      </c>
      <c r="D231" s="1">
        <v>0.3125</v>
      </c>
      <c r="E231">
        <v>6</v>
      </c>
      <c r="F231">
        <v>660</v>
      </c>
      <c r="G231">
        <v>2.7272727272727271</v>
      </c>
      <c r="H231">
        <v>2.2000000000000002</v>
      </c>
      <c r="I231" t="e">
        <v>#NAME?</v>
      </c>
      <c r="J231">
        <v>5</v>
      </c>
      <c r="K231" t="e">
        <v>#NAME?</v>
      </c>
      <c r="L231">
        <v>6</v>
      </c>
      <c r="M231">
        <v>5</v>
      </c>
      <c r="N231">
        <v>-1</v>
      </c>
      <c r="O231">
        <v>0.80857062339782715</v>
      </c>
      <c r="P231">
        <v>1</v>
      </c>
      <c r="Q231">
        <v>0.44</v>
      </c>
      <c r="R231">
        <v>17</v>
      </c>
      <c r="S231">
        <f t="shared" si="9"/>
        <v>4.8514237403869629</v>
      </c>
      <c r="T231">
        <f t="shared" si="10"/>
        <v>6</v>
      </c>
      <c r="U231">
        <f t="shared" si="13"/>
        <v>9000</v>
      </c>
    </row>
    <row r="232" spans="2:21" x14ac:dyDescent="0.25">
      <c r="B232" t="s">
        <v>2</v>
      </c>
      <c r="C232" t="s">
        <v>3</v>
      </c>
      <c r="D232" s="1">
        <v>0.33333333333333331</v>
      </c>
      <c r="E232">
        <v>20</v>
      </c>
      <c r="F232">
        <v>660</v>
      </c>
      <c r="G232">
        <v>2.7272727272727271</v>
      </c>
      <c r="H232">
        <v>7.3333333333333339</v>
      </c>
      <c r="I232" t="e">
        <v>#NAME?</v>
      </c>
      <c r="J232">
        <v>11</v>
      </c>
      <c r="K232" t="e">
        <v>#NAME?</v>
      </c>
      <c r="L232">
        <v>13</v>
      </c>
      <c r="M232">
        <v>13</v>
      </c>
      <c r="N232">
        <v>0</v>
      </c>
      <c r="O232">
        <v>0.8758467435836792</v>
      </c>
      <c r="P232">
        <v>1</v>
      </c>
      <c r="Q232">
        <v>0.5641025641025641</v>
      </c>
      <c r="R232">
        <v>8</v>
      </c>
      <c r="S232">
        <f t="shared" si="9"/>
        <v>17.516934871673584</v>
      </c>
      <c r="T232">
        <f t="shared" si="10"/>
        <v>20</v>
      </c>
      <c r="U232">
        <f t="shared" si="13"/>
        <v>23400</v>
      </c>
    </row>
    <row r="233" spans="2:21" x14ac:dyDescent="0.25">
      <c r="B233" t="s">
        <v>2</v>
      </c>
      <c r="C233" t="s">
        <v>3</v>
      </c>
      <c r="D233" s="1">
        <v>0.35416666666666669</v>
      </c>
      <c r="E233">
        <v>18</v>
      </c>
      <c r="F233">
        <v>660</v>
      </c>
      <c r="G233">
        <v>2.7272727272727271</v>
      </c>
      <c r="H233">
        <v>6.6000000000000005</v>
      </c>
      <c r="I233" t="e">
        <v>#NAME?</v>
      </c>
      <c r="J233">
        <v>10</v>
      </c>
      <c r="K233" t="e">
        <v>#NAME?</v>
      </c>
      <c r="L233">
        <v>12</v>
      </c>
      <c r="M233">
        <v>13.5</v>
      </c>
      <c r="N233">
        <v>1.5</v>
      </c>
      <c r="O233">
        <v>0.96428555250167847</v>
      </c>
      <c r="P233">
        <v>1</v>
      </c>
      <c r="Q233">
        <v>0.48888888888888887</v>
      </c>
      <c r="R233">
        <v>7.5</v>
      </c>
      <c r="S233">
        <f t="shared" si="9"/>
        <v>17.357139945030212</v>
      </c>
      <c r="T233">
        <f t="shared" si="10"/>
        <v>18</v>
      </c>
      <c r="U233">
        <f t="shared" si="13"/>
        <v>24300</v>
      </c>
    </row>
    <row r="234" spans="2:21" x14ac:dyDescent="0.25">
      <c r="B234" t="s">
        <v>2</v>
      </c>
      <c r="C234" t="s">
        <v>3</v>
      </c>
      <c r="D234" s="1">
        <v>0.375</v>
      </c>
      <c r="E234">
        <v>17</v>
      </c>
      <c r="F234">
        <v>660</v>
      </c>
      <c r="G234">
        <v>2.7272727272727271</v>
      </c>
      <c r="H234">
        <v>6.2333333333333334</v>
      </c>
      <c r="I234" t="e">
        <v>#NAME?</v>
      </c>
      <c r="J234">
        <v>10</v>
      </c>
      <c r="K234" t="e">
        <v>#NAME?</v>
      </c>
      <c r="L234">
        <v>12</v>
      </c>
      <c r="M234">
        <v>15.5</v>
      </c>
      <c r="N234">
        <v>3.5</v>
      </c>
      <c r="O234">
        <v>0.99033105373382568</v>
      </c>
      <c r="P234">
        <v>1</v>
      </c>
      <c r="Q234">
        <v>0.40215053763440861</v>
      </c>
      <c r="R234">
        <v>6.5</v>
      </c>
      <c r="S234">
        <f t="shared" si="9"/>
        <v>16.835627913475037</v>
      </c>
      <c r="T234">
        <f t="shared" si="10"/>
        <v>17</v>
      </c>
      <c r="U234">
        <f t="shared" si="13"/>
        <v>27900</v>
      </c>
    </row>
    <row r="235" spans="2:21" x14ac:dyDescent="0.25">
      <c r="B235" t="s">
        <v>2</v>
      </c>
      <c r="C235" t="s">
        <v>3</v>
      </c>
      <c r="D235" s="1">
        <v>0.39583333333333331</v>
      </c>
      <c r="E235">
        <v>22</v>
      </c>
      <c r="F235">
        <v>660</v>
      </c>
      <c r="G235">
        <v>2.7272727272727271</v>
      </c>
      <c r="H235">
        <v>8.0666666666666664</v>
      </c>
      <c r="I235" t="e">
        <v>#NAME?</v>
      </c>
      <c r="J235">
        <v>12</v>
      </c>
      <c r="K235" t="e">
        <v>#NAME?</v>
      </c>
      <c r="L235">
        <v>14</v>
      </c>
      <c r="M235">
        <v>14.5</v>
      </c>
      <c r="N235">
        <v>0.5</v>
      </c>
      <c r="O235">
        <v>0.9314502477645874</v>
      </c>
      <c r="P235">
        <v>1</v>
      </c>
      <c r="Q235">
        <v>0.55632183908045973</v>
      </c>
      <c r="R235">
        <v>7.5</v>
      </c>
      <c r="S235">
        <f t="shared" si="9"/>
        <v>20.491905450820923</v>
      </c>
      <c r="T235">
        <f t="shared" si="10"/>
        <v>22</v>
      </c>
      <c r="U235">
        <f t="shared" si="13"/>
        <v>26100</v>
      </c>
    </row>
    <row r="236" spans="2:21" x14ac:dyDescent="0.25">
      <c r="B236" t="s">
        <v>2</v>
      </c>
      <c r="C236" t="s">
        <v>3</v>
      </c>
      <c r="D236" s="1">
        <v>0.41666666666666669</v>
      </c>
      <c r="E236">
        <v>24</v>
      </c>
      <c r="F236">
        <v>660</v>
      </c>
      <c r="G236">
        <v>2.7272727272727271</v>
      </c>
      <c r="H236">
        <v>8.8000000000000007</v>
      </c>
      <c r="I236" t="e">
        <v>#NAME?</v>
      </c>
      <c r="J236">
        <v>13</v>
      </c>
      <c r="K236" t="e">
        <v>#NAME?</v>
      </c>
      <c r="L236">
        <v>15</v>
      </c>
      <c r="M236">
        <v>18.5</v>
      </c>
      <c r="N236">
        <v>3.5</v>
      </c>
      <c r="O236">
        <v>0.98444193601608276</v>
      </c>
      <c r="P236">
        <v>1</v>
      </c>
      <c r="Q236">
        <v>0.4756756756756757</v>
      </c>
      <c r="R236">
        <v>3.5</v>
      </c>
      <c r="S236">
        <f t="shared" si="9"/>
        <v>23.626606464385986</v>
      </c>
      <c r="T236">
        <f t="shared" si="10"/>
        <v>24</v>
      </c>
      <c r="U236">
        <f t="shared" si="13"/>
        <v>33300</v>
      </c>
    </row>
    <row r="237" spans="2:21" x14ac:dyDescent="0.25">
      <c r="B237" t="s">
        <v>2</v>
      </c>
      <c r="C237" t="s">
        <v>3</v>
      </c>
      <c r="D237" s="1">
        <v>0.4375</v>
      </c>
      <c r="E237">
        <v>20</v>
      </c>
      <c r="F237">
        <v>660</v>
      </c>
      <c r="G237">
        <v>2.7272727272727271</v>
      </c>
      <c r="H237">
        <v>7.3333333333333339</v>
      </c>
      <c r="I237" t="e">
        <v>#NAME?</v>
      </c>
      <c r="J237">
        <v>11</v>
      </c>
      <c r="K237" t="e">
        <v>#NAME?</v>
      </c>
      <c r="L237">
        <v>13</v>
      </c>
      <c r="M237">
        <v>16.5</v>
      </c>
      <c r="N237">
        <v>3.5</v>
      </c>
      <c r="O237">
        <v>0.98467755317687988</v>
      </c>
      <c r="P237">
        <v>1</v>
      </c>
      <c r="Q237">
        <v>0.44444444444444442</v>
      </c>
      <c r="R237">
        <v>5.5</v>
      </c>
      <c r="S237">
        <f t="shared" si="9"/>
        <v>19.693551063537598</v>
      </c>
      <c r="T237">
        <f t="shared" si="10"/>
        <v>20</v>
      </c>
      <c r="U237">
        <f t="shared" si="13"/>
        <v>29700</v>
      </c>
    </row>
    <row r="238" spans="2:21" x14ac:dyDescent="0.25">
      <c r="B238" t="s">
        <v>2</v>
      </c>
      <c r="C238" t="s">
        <v>3</v>
      </c>
      <c r="D238" s="1">
        <v>0.45833333333333331</v>
      </c>
      <c r="E238">
        <v>16</v>
      </c>
      <c r="F238">
        <v>660</v>
      </c>
      <c r="G238">
        <v>2.7272727272727271</v>
      </c>
      <c r="H238">
        <v>5.8666666666666671</v>
      </c>
      <c r="I238" t="e">
        <v>#NAME?</v>
      </c>
      <c r="J238">
        <v>10</v>
      </c>
      <c r="K238" t="e">
        <v>#NAME?</v>
      </c>
      <c r="L238">
        <v>12</v>
      </c>
      <c r="M238">
        <v>18</v>
      </c>
      <c r="N238">
        <v>6</v>
      </c>
      <c r="O238">
        <v>0.99969446659088135</v>
      </c>
      <c r="P238">
        <v>1</v>
      </c>
      <c r="Q238">
        <v>0.32592592592592595</v>
      </c>
      <c r="R238">
        <v>4.5</v>
      </c>
      <c r="S238">
        <f t="shared" si="9"/>
        <v>15.995111465454102</v>
      </c>
      <c r="T238">
        <f t="shared" si="10"/>
        <v>16</v>
      </c>
      <c r="U238">
        <f t="shared" si="13"/>
        <v>32400</v>
      </c>
    </row>
    <row r="239" spans="2:21" x14ac:dyDescent="0.25">
      <c r="B239" t="s">
        <v>2</v>
      </c>
      <c r="C239" t="s">
        <v>3</v>
      </c>
      <c r="D239" s="1">
        <v>0.47916666666666669</v>
      </c>
      <c r="E239">
        <v>19</v>
      </c>
      <c r="F239">
        <v>660</v>
      </c>
      <c r="G239">
        <v>2.7272727272727271</v>
      </c>
      <c r="H239">
        <v>6.9666666666666668</v>
      </c>
      <c r="I239" t="e">
        <v>#NAME?</v>
      </c>
      <c r="J239">
        <v>11</v>
      </c>
      <c r="K239" t="e">
        <v>#NAME?</v>
      </c>
      <c r="L239">
        <v>13</v>
      </c>
      <c r="M239">
        <v>18</v>
      </c>
      <c r="N239">
        <v>5</v>
      </c>
      <c r="O239">
        <v>0.99816018342971802</v>
      </c>
      <c r="P239">
        <v>1</v>
      </c>
      <c r="Q239">
        <v>0.38703703703703701</v>
      </c>
      <c r="R239">
        <v>4</v>
      </c>
      <c r="S239">
        <f t="shared" si="9"/>
        <v>18.965043485164642</v>
      </c>
      <c r="T239">
        <f t="shared" si="10"/>
        <v>19</v>
      </c>
      <c r="U239">
        <f t="shared" si="13"/>
        <v>32400</v>
      </c>
    </row>
    <row r="240" spans="2:21" x14ac:dyDescent="0.25">
      <c r="B240" t="s">
        <v>2</v>
      </c>
      <c r="C240" t="s">
        <v>3</v>
      </c>
      <c r="D240" s="1">
        <v>0.5</v>
      </c>
      <c r="E240">
        <v>12</v>
      </c>
      <c r="F240">
        <v>660</v>
      </c>
      <c r="G240">
        <v>2.7272727272727271</v>
      </c>
      <c r="H240">
        <v>4.4000000000000004</v>
      </c>
      <c r="I240" t="e">
        <v>#NAME?</v>
      </c>
      <c r="J240">
        <v>8</v>
      </c>
      <c r="K240" t="e">
        <v>#NAME?</v>
      </c>
      <c r="L240">
        <v>9</v>
      </c>
      <c r="M240">
        <v>11</v>
      </c>
      <c r="N240">
        <v>2</v>
      </c>
      <c r="O240">
        <v>0.96819412708282471</v>
      </c>
      <c r="P240">
        <v>1</v>
      </c>
      <c r="Q240">
        <v>0.4</v>
      </c>
      <c r="R240">
        <v>9.5</v>
      </c>
      <c r="S240">
        <f t="shared" si="9"/>
        <v>11.618329524993896</v>
      </c>
      <c r="T240">
        <f t="shared" si="10"/>
        <v>12</v>
      </c>
      <c r="U240">
        <f t="shared" si="13"/>
        <v>19800</v>
      </c>
    </row>
    <row r="241" spans="2:21" x14ac:dyDescent="0.25">
      <c r="B241" t="s">
        <v>2</v>
      </c>
      <c r="C241" t="s">
        <v>3</v>
      </c>
      <c r="D241" s="1">
        <v>0.52083333333333337</v>
      </c>
      <c r="E241">
        <v>7</v>
      </c>
      <c r="F241">
        <v>660</v>
      </c>
      <c r="G241">
        <v>2.7272727272727271</v>
      </c>
      <c r="H241">
        <v>2.5666666666666669</v>
      </c>
      <c r="I241" t="e">
        <v>#NAME?</v>
      </c>
      <c r="J241">
        <v>5</v>
      </c>
      <c r="K241" t="e">
        <v>#NAME?</v>
      </c>
      <c r="L241">
        <v>6</v>
      </c>
      <c r="M241">
        <v>7.5</v>
      </c>
      <c r="N241">
        <v>1.5</v>
      </c>
      <c r="O241">
        <v>0.95676815509796143</v>
      </c>
      <c r="P241">
        <v>1</v>
      </c>
      <c r="Q241">
        <v>0.34222222222222221</v>
      </c>
      <c r="R241">
        <v>14.5</v>
      </c>
      <c r="S241">
        <f t="shared" si="9"/>
        <v>6.69737708568573</v>
      </c>
      <c r="T241">
        <f t="shared" si="10"/>
        <v>7</v>
      </c>
      <c r="U241">
        <f t="shared" si="13"/>
        <v>13500</v>
      </c>
    </row>
    <row r="242" spans="2:21" x14ac:dyDescent="0.25">
      <c r="B242" t="s">
        <v>2</v>
      </c>
      <c r="C242" t="s">
        <v>3</v>
      </c>
      <c r="D242" s="1">
        <v>0.54166666666666663</v>
      </c>
      <c r="E242">
        <v>12</v>
      </c>
      <c r="F242">
        <v>660</v>
      </c>
      <c r="G242">
        <v>2.7272727272727271</v>
      </c>
      <c r="H242">
        <v>4.4000000000000004</v>
      </c>
      <c r="I242" t="e">
        <v>#NAME?</v>
      </c>
      <c r="J242">
        <v>8</v>
      </c>
      <c r="K242" t="e">
        <v>#NAME?</v>
      </c>
      <c r="L242">
        <v>9</v>
      </c>
      <c r="M242">
        <v>13</v>
      </c>
      <c r="N242">
        <v>4</v>
      </c>
      <c r="O242">
        <v>0.99527251720428467</v>
      </c>
      <c r="P242">
        <v>1</v>
      </c>
      <c r="Q242">
        <v>0.33846153846153848</v>
      </c>
      <c r="R242">
        <v>9</v>
      </c>
      <c r="S242">
        <f t="shared" si="9"/>
        <v>11.943270206451416</v>
      </c>
      <c r="T242">
        <f t="shared" si="10"/>
        <v>12</v>
      </c>
      <c r="U242">
        <f t="shared" si="13"/>
        <v>23400</v>
      </c>
    </row>
    <row r="243" spans="2:21" x14ac:dyDescent="0.25">
      <c r="B243" t="s">
        <v>2</v>
      </c>
      <c r="C243" t="s">
        <v>3</v>
      </c>
      <c r="D243" s="1">
        <v>0.5625</v>
      </c>
      <c r="E243">
        <v>10</v>
      </c>
      <c r="F243">
        <v>660</v>
      </c>
      <c r="G243">
        <v>2.7272727272727271</v>
      </c>
      <c r="H243">
        <v>3.666666666666667</v>
      </c>
      <c r="I243" t="e">
        <v>#NAME?</v>
      </c>
      <c r="J243">
        <v>7</v>
      </c>
      <c r="K243" t="e">
        <v>#NAME?</v>
      </c>
      <c r="L243">
        <v>8</v>
      </c>
      <c r="M243">
        <v>15</v>
      </c>
      <c r="N243">
        <v>7</v>
      </c>
      <c r="O243">
        <v>0.99990940093994141</v>
      </c>
      <c r="P243">
        <v>1</v>
      </c>
      <c r="Q243">
        <v>0.24444444444444444</v>
      </c>
      <c r="R243">
        <v>6</v>
      </c>
      <c r="S243">
        <f t="shared" si="9"/>
        <v>9.9990940093994141</v>
      </c>
      <c r="T243">
        <f t="shared" si="10"/>
        <v>10</v>
      </c>
      <c r="U243">
        <f t="shared" si="13"/>
        <v>27000</v>
      </c>
    </row>
    <row r="244" spans="2:21" x14ac:dyDescent="0.25">
      <c r="B244" t="s">
        <v>2</v>
      </c>
      <c r="C244" t="s">
        <v>3</v>
      </c>
      <c r="D244" s="1">
        <v>0.58333333333333337</v>
      </c>
      <c r="E244">
        <v>21</v>
      </c>
      <c r="F244">
        <v>660</v>
      </c>
      <c r="G244">
        <v>2.7272727272727271</v>
      </c>
      <c r="H244">
        <v>7.7</v>
      </c>
      <c r="I244" t="e">
        <v>#NAME?</v>
      </c>
      <c r="J244">
        <v>12</v>
      </c>
      <c r="K244" t="e">
        <v>#NAME?</v>
      </c>
      <c r="L244">
        <v>14</v>
      </c>
      <c r="M244">
        <v>14</v>
      </c>
      <c r="N244">
        <v>0</v>
      </c>
      <c r="O244">
        <v>0.91023868322372437</v>
      </c>
      <c r="P244">
        <v>1</v>
      </c>
      <c r="Q244">
        <v>0.55000000000000004</v>
      </c>
      <c r="R244">
        <v>7</v>
      </c>
      <c r="S244">
        <f t="shared" si="9"/>
        <v>19.115012347698212</v>
      </c>
      <c r="T244">
        <f t="shared" si="10"/>
        <v>21</v>
      </c>
      <c r="U244">
        <f t="shared" si="13"/>
        <v>25200</v>
      </c>
    </row>
    <row r="245" spans="2:21" x14ac:dyDescent="0.25">
      <c r="B245" t="s">
        <v>2</v>
      </c>
      <c r="C245" t="s">
        <v>3</v>
      </c>
      <c r="D245" s="1">
        <v>0.60416666666666663</v>
      </c>
      <c r="E245">
        <v>15</v>
      </c>
      <c r="F245">
        <v>660</v>
      </c>
      <c r="G245">
        <v>2.7272727272727271</v>
      </c>
      <c r="H245">
        <v>5.5</v>
      </c>
      <c r="I245" t="e">
        <v>#NAME?</v>
      </c>
      <c r="J245">
        <v>9</v>
      </c>
      <c r="K245" t="e">
        <v>#NAME?</v>
      </c>
      <c r="L245">
        <v>10</v>
      </c>
      <c r="M245">
        <v>14.5</v>
      </c>
      <c r="N245">
        <v>4.5</v>
      </c>
      <c r="O245">
        <v>0.99619835615158081</v>
      </c>
      <c r="P245">
        <v>1</v>
      </c>
      <c r="Q245">
        <v>0.37931034482758619</v>
      </c>
      <c r="R245">
        <v>7.5</v>
      </c>
      <c r="S245">
        <f t="shared" si="9"/>
        <v>14.942975342273712</v>
      </c>
      <c r="T245">
        <f t="shared" si="10"/>
        <v>15</v>
      </c>
      <c r="U245">
        <f t="shared" si="13"/>
        <v>26100</v>
      </c>
    </row>
    <row r="246" spans="2:21" x14ac:dyDescent="0.25">
      <c r="B246" t="s">
        <v>2</v>
      </c>
      <c r="C246" t="s">
        <v>3</v>
      </c>
      <c r="D246" s="1">
        <v>0.625</v>
      </c>
      <c r="E246">
        <v>21</v>
      </c>
      <c r="F246">
        <v>660</v>
      </c>
      <c r="G246">
        <v>2.7272727272727271</v>
      </c>
      <c r="H246">
        <v>7.7</v>
      </c>
      <c r="I246" t="e">
        <v>#NAME?</v>
      </c>
      <c r="J246">
        <v>12</v>
      </c>
      <c r="K246" t="e">
        <v>#NAME?</v>
      </c>
      <c r="L246">
        <v>14</v>
      </c>
      <c r="M246">
        <v>17.5</v>
      </c>
      <c r="N246">
        <v>3.5</v>
      </c>
      <c r="O246">
        <v>0.98947972059249878</v>
      </c>
      <c r="P246">
        <v>1</v>
      </c>
      <c r="Q246">
        <v>0.44</v>
      </c>
      <c r="R246">
        <v>5</v>
      </c>
      <c r="S246">
        <f t="shared" si="9"/>
        <v>20.779074132442474</v>
      </c>
      <c r="T246">
        <f t="shared" si="10"/>
        <v>21</v>
      </c>
      <c r="U246">
        <f t="shared" si="13"/>
        <v>31500</v>
      </c>
    </row>
    <row r="247" spans="2:21" x14ac:dyDescent="0.25">
      <c r="B247" t="s">
        <v>2</v>
      </c>
      <c r="C247" t="s">
        <v>3</v>
      </c>
      <c r="D247" s="1">
        <v>0.64583333333333337</v>
      </c>
      <c r="E247">
        <v>14</v>
      </c>
      <c r="F247">
        <v>660</v>
      </c>
      <c r="G247">
        <v>2.7272727272727271</v>
      </c>
      <c r="H247">
        <v>5.1333333333333337</v>
      </c>
      <c r="I247" t="e">
        <v>#NAME?</v>
      </c>
      <c r="J247">
        <v>9</v>
      </c>
      <c r="K247" t="e">
        <v>#NAME?</v>
      </c>
      <c r="L247">
        <v>10</v>
      </c>
      <c r="M247">
        <v>19</v>
      </c>
      <c r="N247">
        <v>9</v>
      </c>
      <c r="O247">
        <v>0.99998033046722412</v>
      </c>
      <c r="P247">
        <v>1</v>
      </c>
      <c r="Q247">
        <v>0.27017543859649124</v>
      </c>
      <c r="R247">
        <v>3</v>
      </c>
      <c r="S247">
        <f t="shared" si="9"/>
        <v>13.999724626541138</v>
      </c>
      <c r="T247">
        <f t="shared" si="10"/>
        <v>14</v>
      </c>
      <c r="U247">
        <f t="shared" si="13"/>
        <v>34200</v>
      </c>
    </row>
    <row r="248" spans="2:21" x14ac:dyDescent="0.25">
      <c r="B248" t="s">
        <v>2</v>
      </c>
      <c r="C248" t="s">
        <v>3</v>
      </c>
      <c r="D248" s="1">
        <v>0.66666666666666663</v>
      </c>
      <c r="E248">
        <v>23</v>
      </c>
      <c r="F248">
        <v>660</v>
      </c>
      <c r="G248">
        <v>2.7272727272727271</v>
      </c>
      <c r="H248">
        <v>8.4333333333333336</v>
      </c>
      <c r="I248" t="e">
        <v>#NAME?</v>
      </c>
      <c r="J248">
        <v>13</v>
      </c>
      <c r="K248" t="e">
        <v>#NAME?</v>
      </c>
      <c r="L248">
        <v>15</v>
      </c>
      <c r="M248">
        <v>17</v>
      </c>
      <c r="N248">
        <v>2</v>
      </c>
      <c r="O248">
        <v>0.97670537233352661</v>
      </c>
      <c r="P248">
        <v>1</v>
      </c>
      <c r="Q248">
        <v>0.49607843137254903</v>
      </c>
      <c r="R248">
        <v>4.5</v>
      </c>
      <c r="S248">
        <f t="shared" si="9"/>
        <v>22.464223563671112</v>
      </c>
      <c r="T248">
        <f t="shared" si="10"/>
        <v>23</v>
      </c>
      <c r="U248">
        <f t="shared" si="13"/>
        <v>30600</v>
      </c>
    </row>
    <row r="249" spans="2:21" x14ac:dyDescent="0.25">
      <c r="B249" t="s">
        <v>2</v>
      </c>
      <c r="C249" t="s">
        <v>3</v>
      </c>
      <c r="D249" s="1">
        <v>0.6875</v>
      </c>
      <c r="E249">
        <v>22</v>
      </c>
      <c r="F249">
        <v>660</v>
      </c>
      <c r="G249">
        <v>2.7272727272727271</v>
      </c>
      <c r="H249">
        <v>8.0666666666666664</v>
      </c>
      <c r="I249" t="e">
        <v>#NAME?</v>
      </c>
      <c r="J249">
        <v>12</v>
      </c>
      <c r="K249" t="e">
        <v>#NAME?</v>
      </c>
      <c r="L249">
        <v>14</v>
      </c>
      <c r="M249">
        <v>17</v>
      </c>
      <c r="N249">
        <v>3</v>
      </c>
      <c r="O249">
        <v>0.98378282785415649</v>
      </c>
      <c r="P249">
        <v>1</v>
      </c>
      <c r="Q249">
        <v>0.47450980392156861</v>
      </c>
      <c r="R249">
        <v>5</v>
      </c>
      <c r="S249">
        <f t="shared" si="9"/>
        <v>21.643222212791443</v>
      </c>
      <c r="T249">
        <f t="shared" si="10"/>
        <v>22</v>
      </c>
      <c r="U249">
        <f t="shared" si="13"/>
        <v>30600</v>
      </c>
    </row>
    <row r="250" spans="2:21" x14ac:dyDescent="0.25">
      <c r="B250" t="s">
        <v>2</v>
      </c>
      <c r="C250" t="s">
        <v>3</v>
      </c>
      <c r="D250" s="1">
        <v>0.70833333333333337</v>
      </c>
      <c r="E250">
        <v>14</v>
      </c>
      <c r="F250">
        <v>660</v>
      </c>
      <c r="G250">
        <v>2.7272727272727271</v>
      </c>
      <c r="H250">
        <v>5.1333333333333337</v>
      </c>
      <c r="I250" t="e">
        <v>#NAME?</v>
      </c>
      <c r="J250">
        <v>9</v>
      </c>
      <c r="K250" t="e">
        <v>#NAME?</v>
      </c>
      <c r="L250">
        <v>10</v>
      </c>
      <c r="M250">
        <v>7.5</v>
      </c>
      <c r="N250">
        <v>-2.5</v>
      </c>
      <c r="O250">
        <v>0.51095938682556152</v>
      </c>
      <c r="P250">
        <v>1</v>
      </c>
      <c r="Q250">
        <v>0.68444444444444441</v>
      </c>
      <c r="R250">
        <v>15.5</v>
      </c>
      <c r="S250">
        <f t="shared" si="9"/>
        <v>7.1534314155578613</v>
      </c>
      <c r="T250">
        <f t="shared" si="10"/>
        <v>14</v>
      </c>
      <c r="U250">
        <f t="shared" si="13"/>
        <v>13500</v>
      </c>
    </row>
    <row r="251" spans="2:21" x14ac:dyDescent="0.25">
      <c r="B251" t="s">
        <v>2</v>
      </c>
      <c r="C251" t="s">
        <v>3</v>
      </c>
      <c r="D251" s="1">
        <v>0.72916666666666663</v>
      </c>
      <c r="E251">
        <v>16</v>
      </c>
      <c r="F251">
        <v>660</v>
      </c>
      <c r="G251">
        <v>2.7272727272727271</v>
      </c>
      <c r="H251">
        <v>5.8666666666666671</v>
      </c>
      <c r="I251" t="e">
        <v>#NAME?</v>
      </c>
      <c r="J251">
        <v>10</v>
      </c>
      <c r="K251" t="e">
        <v>#NAME?</v>
      </c>
      <c r="L251">
        <v>12</v>
      </c>
      <c r="M251">
        <v>7.5</v>
      </c>
      <c r="N251">
        <v>-4.5</v>
      </c>
      <c r="O251">
        <v>0.29517462849617004</v>
      </c>
      <c r="P251">
        <v>1</v>
      </c>
      <c r="Q251">
        <v>0.78222222222222226</v>
      </c>
      <c r="R251">
        <v>16</v>
      </c>
      <c r="S251">
        <f t="shared" si="9"/>
        <v>4.7227940559387207</v>
      </c>
      <c r="T251">
        <f t="shared" si="10"/>
        <v>16</v>
      </c>
      <c r="U251">
        <f t="shared" si="13"/>
        <v>13500</v>
      </c>
    </row>
    <row r="252" spans="2:21" x14ac:dyDescent="0.25">
      <c r="B252" t="s">
        <v>2</v>
      </c>
      <c r="C252" t="s">
        <v>3</v>
      </c>
      <c r="D252" s="1">
        <v>0.75</v>
      </c>
      <c r="E252">
        <v>7</v>
      </c>
      <c r="F252">
        <v>660</v>
      </c>
      <c r="G252">
        <v>2.7272727272727271</v>
      </c>
      <c r="H252">
        <v>2.5666666666666669</v>
      </c>
      <c r="I252" t="e">
        <v>#NAME?</v>
      </c>
      <c r="J252">
        <v>5</v>
      </c>
      <c r="K252" t="e">
        <v>#NAME?</v>
      </c>
      <c r="L252">
        <v>6</v>
      </c>
      <c r="M252">
        <v>5</v>
      </c>
      <c r="N252">
        <v>-1</v>
      </c>
      <c r="O252">
        <v>0.71417397260665894</v>
      </c>
      <c r="P252">
        <v>1</v>
      </c>
      <c r="Q252">
        <v>0.51333333333333331</v>
      </c>
      <c r="R252">
        <v>16.5</v>
      </c>
      <c r="S252">
        <f t="shared" si="9"/>
        <v>4.9992178082466125</v>
      </c>
      <c r="T252">
        <f t="shared" si="10"/>
        <v>7</v>
      </c>
      <c r="U252">
        <f t="shared" si="13"/>
        <v>9000</v>
      </c>
    </row>
    <row r="253" spans="2:21" x14ac:dyDescent="0.25">
      <c r="B253" t="s">
        <v>2</v>
      </c>
      <c r="C253" t="s">
        <v>3</v>
      </c>
      <c r="D253" s="1">
        <v>0.77083333333333337</v>
      </c>
      <c r="E253">
        <v>3</v>
      </c>
      <c r="F253">
        <v>660</v>
      </c>
      <c r="G253">
        <v>2.7272727272727271</v>
      </c>
      <c r="H253">
        <v>1.1000000000000001</v>
      </c>
      <c r="I253" t="e">
        <v>#NAME?</v>
      </c>
      <c r="J253">
        <v>3</v>
      </c>
      <c r="K253" t="e">
        <v>#NAME?</v>
      </c>
      <c r="L253">
        <v>4</v>
      </c>
      <c r="M253">
        <v>6</v>
      </c>
      <c r="N253">
        <v>2</v>
      </c>
      <c r="O253">
        <v>0.99507600069046021</v>
      </c>
      <c r="P253">
        <v>1</v>
      </c>
      <c r="Q253">
        <v>0.18333333333333332</v>
      </c>
      <c r="R253">
        <v>16</v>
      </c>
      <c r="S253">
        <f t="shared" si="9"/>
        <v>2.9852280020713806</v>
      </c>
      <c r="T253">
        <f t="shared" si="10"/>
        <v>3</v>
      </c>
      <c r="U253">
        <f t="shared" si="13"/>
        <v>10800</v>
      </c>
    </row>
    <row r="254" spans="2:21" x14ac:dyDescent="0.25">
      <c r="B254" t="s">
        <v>2</v>
      </c>
      <c r="C254" t="s">
        <v>3</v>
      </c>
      <c r="D254" s="1">
        <v>0.79166666666666663</v>
      </c>
      <c r="E254">
        <v>3</v>
      </c>
      <c r="F254">
        <v>660</v>
      </c>
      <c r="G254">
        <v>2.7272727272727271</v>
      </c>
      <c r="H254">
        <v>1.1000000000000001</v>
      </c>
      <c r="I254" t="e">
        <v>#NAME?</v>
      </c>
      <c r="J254">
        <v>3</v>
      </c>
      <c r="K254" t="e">
        <v>#NAME?</v>
      </c>
      <c r="L254">
        <v>4</v>
      </c>
      <c r="M254">
        <v>3</v>
      </c>
      <c r="N254">
        <v>-1</v>
      </c>
      <c r="O254">
        <v>0.68835699558258057</v>
      </c>
      <c r="P254">
        <v>1</v>
      </c>
      <c r="Q254">
        <v>0.36666666666666664</v>
      </c>
      <c r="R254">
        <v>19</v>
      </c>
      <c r="S254">
        <f t="shared" si="9"/>
        <v>2.0650709867477417</v>
      </c>
      <c r="T254">
        <f t="shared" si="10"/>
        <v>3</v>
      </c>
      <c r="U254">
        <f t="shared" si="13"/>
        <v>5400</v>
      </c>
    </row>
    <row r="255" spans="2:21" x14ac:dyDescent="0.25">
      <c r="B255" t="s">
        <v>2</v>
      </c>
      <c r="C255" t="s">
        <v>3</v>
      </c>
      <c r="D255" s="1">
        <v>0.8125</v>
      </c>
      <c r="E255">
        <v>3</v>
      </c>
      <c r="F255">
        <v>660</v>
      </c>
      <c r="G255">
        <v>2.7272727272727271</v>
      </c>
      <c r="H255">
        <v>1.1000000000000001</v>
      </c>
      <c r="I255" t="e">
        <v>#NAME?</v>
      </c>
      <c r="J255">
        <v>3</v>
      </c>
      <c r="K255" t="e">
        <v>#NAME?</v>
      </c>
      <c r="L255">
        <v>4</v>
      </c>
      <c r="M255">
        <v>3</v>
      </c>
      <c r="N255">
        <v>-1</v>
      </c>
      <c r="O255">
        <v>0.68835699558258057</v>
      </c>
      <c r="P255">
        <v>1</v>
      </c>
      <c r="Q255">
        <v>0.36666666666666664</v>
      </c>
      <c r="R255">
        <v>19.5</v>
      </c>
      <c r="S255">
        <f t="shared" si="9"/>
        <v>2.0650709867477417</v>
      </c>
      <c r="T255">
        <f t="shared" si="10"/>
        <v>3</v>
      </c>
      <c r="U255">
        <f t="shared" si="13"/>
        <v>5400</v>
      </c>
    </row>
    <row r="256" spans="2:21" x14ac:dyDescent="0.25">
      <c r="B256" t="s">
        <v>2</v>
      </c>
      <c r="C256" t="s">
        <v>3</v>
      </c>
      <c r="D256" s="1">
        <v>0.83333333333333337</v>
      </c>
      <c r="E256">
        <v>1</v>
      </c>
      <c r="F256">
        <v>660</v>
      </c>
      <c r="G256">
        <v>2.7272727272727271</v>
      </c>
      <c r="H256">
        <v>0.3666666666666667</v>
      </c>
      <c r="I256" t="e">
        <v>#NAME?</v>
      </c>
      <c r="J256">
        <v>2</v>
      </c>
      <c r="K256" t="e">
        <v>#NAME?</v>
      </c>
      <c r="L256">
        <v>3</v>
      </c>
      <c r="M256">
        <v>1.5</v>
      </c>
      <c r="N256">
        <v>-1.5</v>
      </c>
      <c r="O256">
        <v>0.67499369382858276</v>
      </c>
      <c r="P256">
        <v>1</v>
      </c>
      <c r="Q256">
        <v>0.24444444444444444</v>
      </c>
      <c r="R256">
        <v>20</v>
      </c>
      <c r="S256">
        <f t="shared" si="9"/>
        <v>0.67499369382858276</v>
      </c>
      <c r="T256">
        <f t="shared" si="10"/>
        <v>1</v>
      </c>
      <c r="U256">
        <f t="shared" si="13"/>
        <v>2700</v>
      </c>
    </row>
    <row r="257" spans="2:21" x14ac:dyDescent="0.25">
      <c r="B257" t="s">
        <v>2</v>
      </c>
      <c r="C257" t="s">
        <v>3</v>
      </c>
      <c r="D257" s="1">
        <v>0.85416666666666663</v>
      </c>
      <c r="E257">
        <v>1</v>
      </c>
      <c r="F257">
        <v>660</v>
      </c>
      <c r="G257">
        <v>2.7272727272727271</v>
      </c>
      <c r="H257">
        <v>0.3666666666666667</v>
      </c>
      <c r="I257" t="e">
        <v>#NAME?</v>
      </c>
      <c r="J257">
        <v>2</v>
      </c>
      <c r="K257" t="e">
        <v>#NAME?</v>
      </c>
      <c r="L257">
        <v>3</v>
      </c>
      <c r="M257">
        <v>1.5</v>
      </c>
      <c r="N257">
        <v>-1.5</v>
      </c>
      <c r="O257">
        <v>0.67499369382858276</v>
      </c>
      <c r="P257">
        <v>1</v>
      </c>
      <c r="Q257">
        <v>0.24444444444444444</v>
      </c>
      <c r="R257">
        <v>20.5</v>
      </c>
      <c r="S257">
        <f t="shared" si="9"/>
        <v>0.67499369382858276</v>
      </c>
      <c r="T257">
        <f t="shared" si="10"/>
        <v>1</v>
      </c>
      <c r="U257">
        <f t="shared" si="13"/>
        <v>2700</v>
      </c>
    </row>
    <row r="258" spans="2:21" x14ac:dyDescent="0.25">
      <c r="B258" t="s">
        <v>2</v>
      </c>
      <c r="C258" t="s">
        <v>3</v>
      </c>
      <c r="D258" s="1">
        <v>0.875</v>
      </c>
      <c r="E258">
        <v>1</v>
      </c>
      <c r="F258">
        <v>660</v>
      </c>
      <c r="G258">
        <v>2.7272727272727271</v>
      </c>
      <c r="H258">
        <v>0.3666666666666667</v>
      </c>
      <c r="I258" t="e">
        <v>#NAME?</v>
      </c>
      <c r="J258">
        <v>2</v>
      </c>
      <c r="K258" t="e">
        <v>#NAME?</v>
      </c>
      <c r="L258">
        <v>3</v>
      </c>
      <c r="M258">
        <v>2</v>
      </c>
      <c r="N258">
        <v>-1</v>
      </c>
      <c r="O258">
        <v>0.69811451435089111</v>
      </c>
      <c r="P258">
        <v>1</v>
      </c>
      <c r="Q258">
        <v>0.18333333333333332</v>
      </c>
      <c r="R258">
        <v>20</v>
      </c>
      <c r="S258">
        <f t="shared" si="9"/>
        <v>0.69811451435089111</v>
      </c>
      <c r="T258">
        <f t="shared" si="10"/>
        <v>1</v>
      </c>
      <c r="U258">
        <f t="shared" si="13"/>
        <v>3600</v>
      </c>
    </row>
    <row r="259" spans="2:21" x14ac:dyDescent="0.25">
      <c r="B259" t="s">
        <v>2</v>
      </c>
      <c r="C259" t="s">
        <v>3</v>
      </c>
      <c r="D259" s="1">
        <v>0.89583333333333337</v>
      </c>
      <c r="E259">
        <v>1</v>
      </c>
      <c r="F259">
        <v>660</v>
      </c>
      <c r="G259">
        <v>2.7272727272727271</v>
      </c>
      <c r="H259">
        <v>0.3666666666666667</v>
      </c>
      <c r="I259" t="e">
        <v>#NAME?</v>
      </c>
      <c r="J259">
        <v>2</v>
      </c>
      <c r="K259" t="e">
        <v>#NAME?</v>
      </c>
      <c r="L259">
        <v>3</v>
      </c>
      <c r="M259">
        <v>2</v>
      </c>
      <c r="N259">
        <v>-1</v>
      </c>
      <c r="O259">
        <v>0.69811451435089111</v>
      </c>
      <c r="P259">
        <v>1</v>
      </c>
      <c r="Q259">
        <v>0.18333333333333332</v>
      </c>
      <c r="R259">
        <v>20</v>
      </c>
      <c r="S259">
        <f t="shared" si="9"/>
        <v>0.69811451435089111</v>
      </c>
      <c r="T259">
        <f t="shared" si="10"/>
        <v>1</v>
      </c>
      <c r="U259">
        <f t="shared" si="13"/>
        <v>3600</v>
      </c>
    </row>
    <row r="260" spans="2:21" x14ac:dyDescent="0.25">
      <c r="B260" t="s">
        <v>2</v>
      </c>
      <c r="C260" t="s">
        <v>4</v>
      </c>
      <c r="D260" s="1">
        <v>0.25</v>
      </c>
      <c r="E260">
        <v>1</v>
      </c>
      <c r="F260">
        <v>660</v>
      </c>
      <c r="G260">
        <v>2.7272727272727271</v>
      </c>
      <c r="H260">
        <v>0.3666666666666667</v>
      </c>
      <c r="I260" t="e">
        <v>#NAME?</v>
      </c>
      <c r="J260">
        <v>2</v>
      </c>
      <c r="K260" t="e">
        <v>#NAME?</v>
      </c>
      <c r="L260">
        <v>3</v>
      </c>
      <c r="M260">
        <v>2</v>
      </c>
      <c r="N260">
        <v>-1</v>
      </c>
      <c r="O260">
        <v>0.70177716016769409</v>
      </c>
      <c r="P260">
        <v>1</v>
      </c>
      <c r="Q260">
        <v>0.18333333333333332</v>
      </c>
      <c r="R260">
        <v>0.2</v>
      </c>
      <c r="S260">
        <f t="shared" si="9"/>
        <v>0.70177716016769409</v>
      </c>
      <c r="T260">
        <f t="shared" si="10"/>
        <v>1</v>
      </c>
      <c r="U260">
        <f t="shared" si="13"/>
        <v>3600</v>
      </c>
    </row>
    <row r="261" spans="2:21" x14ac:dyDescent="0.25">
      <c r="B261" t="s">
        <v>2</v>
      </c>
      <c r="C261" t="s">
        <v>4</v>
      </c>
      <c r="D261" s="1">
        <v>0.27083333333333331</v>
      </c>
      <c r="E261">
        <v>2</v>
      </c>
      <c r="F261">
        <v>660</v>
      </c>
      <c r="G261">
        <v>2.7272727272727271</v>
      </c>
      <c r="H261">
        <v>0.73333333333333339</v>
      </c>
      <c r="I261" t="e">
        <v>#NAME?</v>
      </c>
      <c r="J261">
        <v>2</v>
      </c>
      <c r="K261" t="e">
        <v>#NAME?</v>
      </c>
      <c r="L261">
        <v>3</v>
      </c>
      <c r="M261">
        <v>2</v>
      </c>
      <c r="N261">
        <v>-1</v>
      </c>
      <c r="O261">
        <v>0.47463485598564148</v>
      </c>
      <c r="P261">
        <v>1</v>
      </c>
      <c r="Q261">
        <v>0.36666666666666664</v>
      </c>
      <c r="R261">
        <v>0.2</v>
      </c>
      <c r="S261">
        <f t="shared" ref="S261:S324" si="14">IFERROR(O261*E261,"")</f>
        <v>0.94926971197128296</v>
      </c>
      <c r="T261">
        <f t="shared" ref="T261:T324" si="15">IFERROR(P261*E261,"")</f>
        <v>2</v>
      </c>
      <c r="U261">
        <f t="shared" si="13"/>
        <v>3600</v>
      </c>
    </row>
    <row r="262" spans="2:21" x14ac:dyDescent="0.25">
      <c r="B262" t="s">
        <v>2</v>
      </c>
      <c r="C262" t="s">
        <v>4</v>
      </c>
      <c r="D262" s="1">
        <v>0.29166666666666669</v>
      </c>
      <c r="E262">
        <v>2</v>
      </c>
      <c r="F262">
        <v>660</v>
      </c>
      <c r="G262">
        <v>2.7272727272727271</v>
      </c>
      <c r="H262">
        <v>0.73333333333333339</v>
      </c>
      <c r="I262" t="e">
        <v>#NAME?</v>
      </c>
      <c r="J262">
        <v>2</v>
      </c>
      <c r="K262" t="e">
        <v>#NAME?</v>
      </c>
      <c r="L262">
        <v>3</v>
      </c>
      <c r="M262">
        <v>5</v>
      </c>
      <c r="N262">
        <v>2</v>
      </c>
      <c r="O262">
        <v>0.99394047260284424</v>
      </c>
      <c r="P262">
        <v>1</v>
      </c>
      <c r="Q262">
        <v>0.14666666666666667</v>
      </c>
      <c r="R262">
        <v>0.2</v>
      </c>
      <c r="S262">
        <f t="shared" si="14"/>
        <v>1.9878809452056885</v>
      </c>
      <c r="T262">
        <f t="shared" si="15"/>
        <v>2</v>
      </c>
      <c r="U262">
        <f t="shared" si="13"/>
        <v>9000</v>
      </c>
    </row>
    <row r="263" spans="2:21" x14ac:dyDescent="0.25">
      <c r="B263" t="s">
        <v>2</v>
      </c>
      <c r="C263" t="s">
        <v>4</v>
      </c>
      <c r="D263" s="1">
        <v>0.3125</v>
      </c>
      <c r="E263">
        <v>4</v>
      </c>
      <c r="F263">
        <v>660</v>
      </c>
      <c r="G263">
        <v>2.7272727272727271</v>
      </c>
      <c r="H263">
        <v>1.4666666666666668</v>
      </c>
      <c r="I263" t="e">
        <v>#NAME?</v>
      </c>
      <c r="J263">
        <v>4</v>
      </c>
      <c r="K263" t="e">
        <v>#NAME?</v>
      </c>
      <c r="L263">
        <v>5</v>
      </c>
      <c r="M263">
        <v>5</v>
      </c>
      <c r="N263">
        <v>0</v>
      </c>
      <c r="O263">
        <v>0.94191080331802368</v>
      </c>
      <c r="P263">
        <v>1</v>
      </c>
      <c r="Q263">
        <v>0.29333333333333333</v>
      </c>
      <c r="R263">
        <v>0.2</v>
      </c>
      <c r="S263">
        <f t="shared" si="14"/>
        <v>3.7676432132720947</v>
      </c>
      <c r="T263">
        <f t="shared" si="15"/>
        <v>4</v>
      </c>
      <c r="U263">
        <f t="shared" si="13"/>
        <v>9000</v>
      </c>
    </row>
    <row r="264" spans="2:21" x14ac:dyDescent="0.25">
      <c r="B264" t="s">
        <v>2</v>
      </c>
      <c r="C264" t="s">
        <v>4</v>
      </c>
      <c r="D264" s="1">
        <v>0.33333333333333331</v>
      </c>
      <c r="E264">
        <v>16</v>
      </c>
      <c r="F264">
        <v>660</v>
      </c>
      <c r="G264">
        <v>2.7272727272727271</v>
      </c>
      <c r="H264">
        <v>5.8666666666666671</v>
      </c>
      <c r="I264" t="e">
        <v>#NAME?</v>
      </c>
      <c r="J264">
        <v>9</v>
      </c>
      <c r="K264" t="e">
        <v>#NAME?</v>
      </c>
      <c r="L264">
        <v>10</v>
      </c>
      <c r="M264">
        <v>13</v>
      </c>
      <c r="N264">
        <v>3</v>
      </c>
      <c r="O264">
        <v>0.98463946580886841</v>
      </c>
      <c r="P264">
        <v>1</v>
      </c>
      <c r="Q264">
        <v>0.45128205128205129</v>
      </c>
      <c r="R264">
        <v>0.2</v>
      </c>
      <c r="S264">
        <f t="shared" si="14"/>
        <v>15.754231452941895</v>
      </c>
      <c r="T264">
        <f t="shared" si="15"/>
        <v>16</v>
      </c>
      <c r="U264">
        <f t="shared" si="13"/>
        <v>23400</v>
      </c>
    </row>
    <row r="265" spans="2:21" x14ac:dyDescent="0.25">
      <c r="B265" t="s">
        <v>2</v>
      </c>
      <c r="C265" t="s">
        <v>4</v>
      </c>
      <c r="D265" s="1">
        <v>0.35416666666666669</v>
      </c>
      <c r="E265">
        <v>19</v>
      </c>
      <c r="F265">
        <v>660</v>
      </c>
      <c r="G265">
        <v>2.7272727272727271</v>
      </c>
      <c r="H265">
        <v>6.9666666666666668</v>
      </c>
      <c r="I265" t="e">
        <v>#NAME?</v>
      </c>
      <c r="J265">
        <v>10</v>
      </c>
      <c r="K265" t="e">
        <v>#NAME?</v>
      </c>
      <c r="L265">
        <v>11</v>
      </c>
      <c r="M265">
        <v>13.5</v>
      </c>
      <c r="N265">
        <v>2.5</v>
      </c>
      <c r="O265">
        <v>0.95305055379867554</v>
      </c>
      <c r="P265">
        <v>0.94736842105263153</v>
      </c>
      <c r="Q265">
        <v>0.51604938271604939</v>
      </c>
      <c r="R265">
        <v>0.2</v>
      </c>
      <c r="S265">
        <f t="shared" si="14"/>
        <v>18.107960522174835</v>
      </c>
      <c r="T265">
        <f t="shared" si="15"/>
        <v>18</v>
      </c>
      <c r="U265">
        <f t="shared" si="13"/>
        <v>24300</v>
      </c>
    </row>
    <row r="266" spans="2:21" x14ac:dyDescent="0.25">
      <c r="B266" t="s">
        <v>2</v>
      </c>
      <c r="C266" t="s">
        <v>4</v>
      </c>
      <c r="D266" s="1">
        <v>0.375</v>
      </c>
      <c r="E266">
        <v>20</v>
      </c>
      <c r="F266">
        <v>660</v>
      </c>
      <c r="G266">
        <v>2.7272727272727271</v>
      </c>
      <c r="H266">
        <v>7.3333333333333339</v>
      </c>
      <c r="I266" t="e">
        <v>#NAME?</v>
      </c>
      <c r="J266">
        <v>11</v>
      </c>
      <c r="K266" t="e">
        <v>#NAME?</v>
      </c>
      <c r="L266">
        <v>12</v>
      </c>
      <c r="M266">
        <v>15.5</v>
      </c>
      <c r="N266">
        <v>3.5</v>
      </c>
      <c r="O266">
        <v>0.9844934344291687</v>
      </c>
      <c r="P266">
        <v>0.9818181818181817</v>
      </c>
      <c r="Q266">
        <v>0.4731182795698925</v>
      </c>
      <c r="R266">
        <v>0.2</v>
      </c>
      <c r="S266">
        <f t="shared" si="14"/>
        <v>19.689868688583374</v>
      </c>
      <c r="T266">
        <f t="shared" si="15"/>
        <v>19.636363636363633</v>
      </c>
      <c r="U266">
        <f t="shared" si="13"/>
        <v>27900</v>
      </c>
    </row>
    <row r="267" spans="2:21" x14ac:dyDescent="0.25">
      <c r="B267" t="s">
        <v>2</v>
      </c>
      <c r="C267" t="s">
        <v>4</v>
      </c>
      <c r="D267" s="1">
        <v>0.39583333333333331</v>
      </c>
      <c r="E267">
        <v>31</v>
      </c>
      <c r="F267">
        <v>660</v>
      </c>
      <c r="G267">
        <v>2.7272727272727271</v>
      </c>
      <c r="H267">
        <v>11.366666666666667</v>
      </c>
      <c r="I267" t="e">
        <v>#NAME?</v>
      </c>
      <c r="J267">
        <v>16</v>
      </c>
      <c r="K267" t="e">
        <v>#NAME?</v>
      </c>
      <c r="L267">
        <v>17</v>
      </c>
      <c r="M267">
        <v>14.5</v>
      </c>
      <c r="N267">
        <v>-2.5</v>
      </c>
      <c r="O267">
        <v>0.56816345453262329</v>
      </c>
      <c r="P267">
        <v>0.8973607038123167</v>
      </c>
      <c r="Q267">
        <v>0.78390804597701147</v>
      </c>
      <c r="R267">
        <v>0.2</v>
      </c>
      <c r="S267">
        <f t="shared" si="14"/>
        <v>17.613067090511322</v>
      </c>
      <c r="T267">
        <f t="shared" si="15"/>
        <v>27.818181818181817</v>
      </c>
      <c r="U267">
        <f t="shared" si="13"/>
        <v>26100</v>
      </c>
    </row>
    <row r="268" spans="2:21" x14ac:dyDescent="0.25">
      <c r="B268" t="s">
        <v>2</v>
      </c>
      <c r="C268" t="s">
        <v>4</v>
      </c>
      <c r="D268" s="1">
        <v>0.41666666666666669</v>
      </c>
      <c r="E268">
        <v>26</v>
      </c>
      <c r="F268">
        <v>660</v>
      </c>
      <c r="G268">
        <v>2.7272727272727271</v>
      </c>
      <c r="H268">
        <v>9.5333333333333332</v>
      </c>
      <c r="I268" t="e">
        <v>#NAME?</v>
      </c>
      <c r="J268">
        <v>13</v>
      </c>
      <c r="K268" t="e">
        <v>#NAME?</v>
      </c>
      <c r="L268">
        <v>14</v>
      </c>
      <c r="M268">
        <v>18.5</v>
      </c>
      <c r="N268">
        <v>4.5</v>
      </c>
      <c r="O268">
        <v>0.98455131053924561</v>
      </c>
      <c r="P268">
        <v>0.88111888111888115</v>
      </c>
      <c r="Q268">
        <v>0.51531531531531527</v>
      </c>
      <c r="R268">
        <v>0.2</v>
      </c>
      <c r="S268">
        <f t="shared" si="14"/>
        <v>25.598334074020386</v>
      </c>
      <c r="T268">
        <f t="shared" si="15"/>
        <v>22.90909090909091</v>
      </c>
      <c r="U268">
        <f t="shared" si="13"/>
        <v>33300</v>
      </c>
    </row>
    <row r="269" spans="2:21" x14ac:dyDescent="0.25">
      <c r="B269" t="s">
        <v>2</v>
      </c>
      <c r="C269" t="s">
        <v>4</v>
      </c>
      <c r="D269" s="1">
        <v>0.4375</v>
      </c>
      <c r="E269">
        <v>19</v>
      </c>
      <c r="F269">
        <v>660</v>
      </c>
      <c r="G269">
        <v>2.7272727272727271</v>
      </c>
      <c r="H269">
        <v>6.9666666666666668</v>
      </c>
      <c r="I269" t="e">
        <v>#NAME?</v>
      </c>
      <c r="J269">
        <v>10</v>
      </c>
      <c r="K269" t="e">
        <v>#NAME?</v>
      </c>
      <c r="L269">
        <v>11</v>
      </c>
      <c r="M269">
        <v>16.5</v>
      </c>
      <c r="N269">
        <v>5.5</v>
      </c>
      <c r="O269">
        <v>0.99559599161148071</v>
      </c>
      <c r="P269">
        <v>0.94736842105263153</v>
      </c>
      <c r="Q269">
        <v>0.42222222222222222</v>
      </c>
      <c r="R269">
        <v>0.2</v>
      </c>
      <c r="S269">
        <f t="shared" si="14"/>
        <v>18.916323840618134</v>
      </c>
      <c r="T269">
        <f t="shared" si="15"/>
        <v>18</v>
      </c>
      <c r="U269">
        <f t="shared" si="13"/>
        <v>29700</v>
      </c>
    </row>
    <row r="270" spans="2:21" x14ac:dyDescent="0.25">
      <c r="B270" t="s">
        <v>2</v>
      </c>
      <c r="C270" t="s">
        <v>4</v>
      </c>
      <c r="D270" s="1">
        <v>0.45833333333333331</v>
      </c>
      <c r="E270">
        <v>19</v>
      </c>
      <c r="F270">
        <v>660</v>
      </c>
      <c r="G270">
        <v>2.7272727272727271</v>
      </c>
      <c r="H270">
        <v>6.9666666666666668</v>
      </c>
      <c r="I270" t="e">
        <v>#NAME?</v>
      </c>
      <c r="J270">
        <v>10</v>
      </c>
      <c r="K270" t="e">
        <v>#NAME?</v>
      </c>
      <c r="L270">
        <v>11</v>
      </c>
      <c r="M270">
        <v>18</v>
      </c>
      <c r="N270">
        <v>7</v>
      </c>
      <c r="O270">
        <v>0.99929428100585938</v>
      </c>
      <c r="P270">
        <v>0.94736842105263153</v>
      </c>
      <c r="Q270">
        <v>0.38703703703703701</v>
      </c>
      <c r="R270">
        <v>0.2</v>
      </c>
      <c r="S270">
        <f t="shared" si="14"/>
        <v>18.986591339111328</v>
      </c>
      <c r="T270">
        <f t="shared" si="15"/>
        <v>18</v>
      </c>
      <c r="U270">
        <f t="shared" si="13"/>
        <v>32400</v>
      </c>
    </row>
    <row r="271" spans="2:21" x14ac:dyDescent="0.25">
      <c r="B271" t="s">
        <v>2</v>
      </c>
      <c r="C271" t="s">
        <v>4</v>
      </c>
      <c r="D271" s="1">
        <v>0.47916666666666669</v>
      </c>
      <c r="E271">
        <v>16</v>
      </c>
      <c r="F271">
        <v>660</v>
      </c>
      <c r="G271">
        <v>2.7272727272727271</v>
      </c>
      <c r="H271">
        <v>5.8666666666666671</v>
      </c>
      <c r="I271" t="e">
        <v>#NAME?</v>
      </c>
      <c r="J271">
        <v>9</v>
      </c>
      <c r="K271" t="e">
        <v>#NAME?</v>
      </c>
      <c r="L271">
        <v>10</v>
      </c>
      <c r="M271">
        <v>18</v>
      </c>
      <c r="N271">
        <v>8</v>
      </c>
      <c r="O271">
        <v>0.99990040063858032</v>
      </c>
      <c r="P271">
        <v>1</v>
      </c>
      <c r="Q271">
        <v>0.32592592592592595</v>
      </c>
      <c r="R271">
        <v>0.2</v>
      </c>
      <c r="S271">
        <f t="shared" si="14"/>
        <v>15.998406410217285</v>
      </c>
      <c r="T271">
        <f t="shared" si="15"/>
        <v>16</v>
      </c>
      <c r="U271">
        <f t="shared" si="13"/>
        <v>32400</v>
      </c>
    </row>
    <row r="272" spans="2:21" x14ac:dyDescent="0.25">
      <c r="B272" t="s">
        <v>2</v>
      </c>
      <c r="C272" t="s">
        <v>4</v>
      </c>
      <c r="D272" s="1">
        <v>0.5</v>
      </c>
      <c r="E272">
        <v>18</v>
      </c>
      <c r="F272">
        <v>660</v>
      </c>
      <c r="G272">
        <v>2.7272727272727271</v>
      </c>
      <c r="H272">
        <v>6.6000000000000005</v>
      </c>
      <c r="I272" t="e">
        <v>#NAME?</v>
      </c>
      <c r="J272">
        <v>10</v>
      </c>
      <c r="K272" t="e">
        <v>#NAME?</v>
      </c>
      <c r="L272">
        <v>11</v>
      </c>
      <c r="M272">
        <v>12</v>
      </c>
      <c r="N272">
        <v>1</v>
      </c>
      <c r="O272">
        <v>0.92836350202560425</v>
      </c>
      <c r="P272">
        <v>1</v>
      </c>
      <c r="Q272">
        <v>0.55000000000000004</v>
      </c>
      <c r="R272">
        <v>0.2</v>
      </c>
      <c r="S272">
        <f t="shared" si="14"/>
        <v>16.710543036460876</v>
      </c>
      <c r="T272">
        <f t="shared" si="15"/>
        <v>18</v>
      </c>
      <c r="U272">
        <f t="shared" si="13"/>
        <v>21600</v>
      </c>
    </row>
    <row r="273" spans="2:21" x14ac:dyDescent="0.25">
      <c r="B273" t="s">
        <v>2</v>
      </c>
      <c r="C273" t="s">
        <v>4</v>
      </c>
      <c r="D273" s="1">
        <v>0.52083333333333337</v>
      </c>
      <c r="E273">
        <v>8</v>
      </c>
      <c r="F273">
        <v>660</v>
      </c>
      <c r="G273">
        <v>2.7272727272727271</v>
      </c>
      <c r="H273">
        <v>2.9333333333333336</v>
      </c>
      <c r="I273" t="e">
        <v>#NAME?</v>
      </c>
      <c r="J273">
        <v>6</v>
      </c>
      <c r="K273" t="e">
        <v>#NAME?</v>
      </c>
      <c r="L273">
        <v>7</v>
      </c>
      <c r="M273">
        <v>7.5</v>
      </c>
      <c r="N273">
        <v>0.5</v>
      </c>
      <c r="O273">
        <v>0.97055709362030029</v>
      </c>
      <c r="P273">
        <v>1</v>
      </c>
      <c r="Q273">
        <v>0.39111111111111113</v>
      </c>
      <c r="R273">
        <v>0.2</v>
      </c>
      <c r="S273">
        <f t="shared" si="14"/>
        <v>7.7644567489624023</v>
      </c>
      <c r="T273">
        <f t="shared" si="15"/>
        <v>8</v>
      </c>
      <c r="U273">
        <f t="shared" si="13"/>
        <v>13500</v>
      </c>
    </row>
    <row r="274" spans="2:21" x14ac:dyDescent="0.25">
      <c r="B274" t="s">
        <v>2</v>
      </c>
      <c r="C274" t="s">
        <v>4</v>
      </c>
      <c r="D274" s="1">
        <v>0.54166666666666663</v>
      </c>
      <c r="E274">
        <v>9</v>
      </c>
      <c r="F274">
        <v>660</v>
      </c>
      <c r="G274">
        <v>2.7272727272727271</v>
      </c>
      <c r="H274">
        <v>3.3000000000000003</v>
      </c>
      <c r="I274" t="e">
        <v>#NAME?</v>
      </c>
      <c r="J274">
        <v>6</v>
      </c>
      <c r="K274" t="e">
        <v>#NAME?</v>
      </c>
      <c r="L274">
        <v>7</v>
      </c>
      <c r="M274">
        <v>13</v>
      </c>
      <c r="N274">
        <v>6</v>
      </c>
      <c r="O274">
        <v>0.999866783618927</v>
      </c>
      <c r="P274">
        <v>1</v>
      </c>
      <c r="Q274">
        <v>0.25384615384615383</v>
      </c>
      <c r="R274">
        <v>0.2</v>
      </c>
      <c r="S274">
        <f t="shared" si="14"/>
        <v>8.998801052570343</v>
      </c>
      <c r="T274">
        <f t="shared" si="15"/>
        <v>9</v>
      </c>
      <c r="U274">
        <f t="shared" si="13"/>
        <v>23400</v>
      </c>
    </row>
    <row r="275" spans="2:21" x14ac:dyDescent="0.25">
      <c r="B275" t="s">
        <v>2</v>
      </c>
      <c r="C275" t="s">
        <v>4</v>
      </c>
      <c r="D275" s="1">
        <v>0.5625</v>
      </c>
      <c r="E275">
        <v>10</v>
      </c>
      <c r="F275">
        <v>660</v>
      </c>
      <c r="G275">
        <v>2.7272727272727271</v>
      </c>
      <c r="H275">
        <v>3.666666666666667</v>
      </c>
      <c r="I275" t="e">
        <v>#NAME?</v>
      </c>
      <c r="J275">
        <v>6</v>
      </c>
      <c r="K275" t="e">
        <v>#NAME?</v>
      </c>
      <c r="L275">
        <v>7</v>
      </c>
      <c r="M275">
        <v>16</v>
      </c>
      <c r="N275">
        <v>9</v>
      </c>
      <c r="O275">
        <v>0.99999469518661499</v>
      </c>
      <c r="P275">
        <v>1</v>
      </c>
      <c r="Q275">
        <v>0.22916666666666666</v>
      </c>
      <c r="R275">
        <v>0.2</v>
      </c>
      <c r="S275">
        <f t="shared" si="14"/>
        <v>9.9999469518661499</v>
      </c>
      <c r="T275">
        <f t="shared" si="15"/>
        <v>10</v>
      </c>
      <c r="U275">
        <f t="shared" si="13"/>
        <v>28800</v>
      </c>
    </row>
    <row r="276" spans="2:21" x14ac:dyDescent="0.25">
      <c r="B276" t="s">
        <v>2</v>
      </c>
      <c r="C276" t="s">
        <v>4</v>
      </c>
      <c r="D276" s="1">
        <v>0.58333333333333337</v>
      </c>
      <c r="E276">
        <v>22</v>
      </c>
      <c r="F276">
        <v>660</v>
      </c>
      <c r="G276">
        <v>2.7272727272727271</v>
      </c>
      <c r="H276">
        <v>8.0666666666666664</v>
      </c>
      <c r="I276" t="e">
        <v>#NAME?</v>
      </c>
      <c r="J276">
        <v>12</v>
      </c>
      <c r="K276" t="e">
        <v>#NAME?</v>
      </c>
      <c r="L276">
        <v>13</v>
      </c>
      <c r="M276">
        <v>15</v>
      </c>
      <c r="N276">
        <v>2</v>
      </c>
      <c r="O276">
        <v>0.96618229150772095</v>
      </c>
      <c r="P276">
        <v>0.96694214876033058</v>
      </c>
      <c r="Q276">
        <v>0.5377777777777778</v>
      </c>
      <c r="R276">
        <v>0.2</v>
      </c>
      <c r="S276">
        <f t="shared" si="14"/>
        <v>21.256010413169861</v>
      </c>
      <c r="T276">
        <f t="shared" si="15"/>
        <v>21.272727272727273</v>
      </c>
      <c r="U276">
        <f t="shared" si="13"/>
        <v>27000</v>
      </c>
    </row>
    <row r="277" spans="2:21" x14ac:dyDescent="0.25">
      <c r="B277" t="s">
        <v>2</v>
      </c>
      <c r="C277" t="s">
        <v>4</v>
      </c>
      <c r="D277" s="1">
        <v>0.60416666666666663</v>
      </c>
      <c r="E277">
        <v>17</v>
      </c>
      <c r="F277">
        <v>660</v>
      </c>
      <c r="G277">
        <v>2.7272727272727271</v>
      </c>
      <c r="H277">
        <v>6.2333333333333334</v>
      </c>
      <c r="I277" t="e">
        <v>#NAME?</v>
      </c>
      <c r="J277">
        <v>10</v>
      </c>
      <c r="K277" t="e">
        <v>#NAME?</v>
      </c>
      <c r="L277">
        <v>11</v>
      </c>
      <c r="M277">
        <v>14.5</v>
      </c>
      <c r="N277">
        <v>3.5</v>
      </c>
      <c r="O277">
        <v>0.99018007516860962</v>
      </c>
      <c r="P277">
        <v>1</v>
      </c>
      <c r="Q277">
        <v>0.42988505747126438</v>
      </c>
      <c r="R277">
        <v>0.2</v>
      </c>
      <c r="S277">
        <f t="shared" si="14"/>
        <v>16.833061277866364</v>
      </c>
      <c r="T277">
        <f t="shared" si="15"/>
        <v>17</v>
      </c>
      <c r="U277">
        <f t="shared" si="13"/>
        <v>26100</v>
      </c>
    </row>
    <row r="278" spans="2:21" x14ac:dyDescent="0.25">
      <c r="B278" t="s">
        <v>2</v>
      </c>
      <c r="C278" t="s">
        <v>4</v>
      </c>
      <c r="D278" s="1">
        <v>0.625</v>
      </c>
      <c r="E278">
        <v>21</v>
      </c>
      <c r="F278">
        <v>660</v>
      </c>
      <c r="G278">
        <v>2.7272727272727271</v>
      </c>
      <c r="H278">
        <v>7.7</v>
      </c>
      <c r="I278" t="e">
        <v>#NAME?</v>
      </c>
      <c r="J278">
        <v>11</v>
      </c>
      <c r="K278" t="e">
        <v>#NAME?</v>
      </c>
      <c r="L278">
        <v>12</v>
      </c>
      <c r="M278">
        <v>17.5</v>
      </c>
      <c r="N278">
        <v>5.5</v>
      </c>
      <c r="O278">
        <v>0.99530398845672607</v>
      </c>
      <c r="P278">
        <v>0.93506493506493493</v>
      </c>
      <c r="Q278">
        <v>0.44</v>
      </c>
      <c r="R278">
        <v>0.2</v>
      </c>
      <c r="S278">
        <f t="shared" si="14"/>
        <v>20.901383757591248</v>
      </c>
      <c r="T278">
        <f t="shared" si="15"/>
        <v>19.636363636363633</v>
      </c>
      <c r="U278">
        <f t="shared" si="13"/>
        <v>31500</v>
      </c>
    </row>
    <row r="279" spans="2:21" x14ac:dyDescent="0.25">
      <c r="B279" t="s">
        <v>2</v>
      </c>
      <c r="C279" t="s">
        <v>4</v>
      </c>
      <c r="D279" s="1">
        <v>0.64583333333333337</v>
      </c>
      <c r="E279">
        <v>17</v>
      </c>
      <c r="F279">
        <v>660</v>
      </c>
      <c r="G279">
        <v>2.7272727272727271</v>
      </c>
      <c r="H279">
        <v>6.2333333333333334</v>
      </c>
      <c r="I279" t="e">
        <v>#NAME?</v>
      </c>
      <c r="J279">
        <v>10</v>
      </c>
      <c r="K279" t="e">
        <v>#NAME?</v>
      </c>
      <c r="L279">
        <v>11</v>
      </c>
      <c r="M279">
        <v>19</v>
      </c>
      <c r="N279">
        <v>8</v>
      </c>
      <c r="O279">
        <v>0.99993395805358887</v>
      </c>
      <c r="P279">
        <v>1</v>
      </c>
      <c r="Q279">
        <v>0.32807017543859651</v>
      </c>
      <c r="R279">
        <v>0.2</v>
      </c>
      <c r="S279">
        <f t="shared" si="14"/>
        <v>16.998877286911011</v>
      </c>
      <c r="T279">
        <f t="shared" si="15"/>
        <v>17</v>
      </c>
      <c r="U279">
        <f t="shared" si="13"/>
        <v>34200</v>
      </c>
    </row>
    <row r="280" spans="2:21" x14ac:dyDescent="0.25">
      <c r="B280" t="s">
        <v>2</v>
      </c>
      <c r="C280" t="s">
        <v>4</v>
      </c>
      <c r="D280" s="1">
        <v>0.66666666666666663</v>
      </c>
      <c r="E280">
        <v>23</v>
      </c>
      <c r="F280">
        <v>660</v>
      </c>
      <c r="G280">
        <v>2.7272727272727271</v>
      </c>
      <c r="H280">
        <v>8.4333333333333336</v>
      </c>
      <c r="I280" t="e">
        <v>#NAME?</v>
      </c>
      <c r="J280">
        <v>12</v>
      </c>
      <c r="K280" t="e">
        <v>#NAME?</v>
      </c>
      <c r="L280">
        <v>13</v>
      </c>
      <c r="M280">
        <v>17</v>
      </c>
      <c r="N280">
        <v>4</v>
      </c>
      <c r="O280">
        <v>0.9887424111366272</v>
      </c>
      <c r="P280">
        <v>0.92490118577075098</v>
      </c>
      <c r="Q280">
        <v>0.49607843137254903</v>
      </c>
      <c r="R280">
        <v>0.2</v>
      </c>
      <c r="S280">
        <f t="shared" si="14"/>
        <v>22.741075456142426</v>
      </c>
      <c r="T280">
        <f t="shared" si="15"/>
        <v>21.272727272727273</v>
      </c>
      <c r="U280">
        <f t="shared" si="13"/>
        <v>30600</v>
      </c>
    </row>
    <row r="281" spans="2:21" x14ac:dyDescent="0.25">
      <c r="B281" t="s">
        <v>2</v>
      </c>
      <c r="C281" t="s">
        <v>4</v>
      </c>
      <c r="D281" s="1">
        <v>0.6875</v>
      </c>
      <c r="E281">
        <v>16</v>
      </c>
      <c r="F281">
        <v>660</v>
      </c>
      <c r="G281">
        <v>2.7272727272727271</v>
      </c>
      <c r="H281">
        <v>5.8666666666666671</v>
      </c>
      <c r="I281" t="e">
        <v>#NAME?</v>
      </c>
      <c r="J281">
        <v>9</v>
      </c>
      <c r="K281" t="e">
        <v>#NAME?</v>
      </c>
      <c r="L281">
        <v>10</v>
      </c>
      <c r="M281">
        <v>17</v>
      </c>
      <c r="N281">
        <v>7</v>
      </c>
      <c r="O281">
        <v>0.99969345331192017</v>
      </c>
      <c r="P281">
        <v>1</v>
      </c>
      <c r="Q281">
        <v>0.34509803921568627</v>
      </c>
      <c r="R281">
        <v>0.2</v>
      </c>
      <c r="S281">
        <f t="shared" si="14"/>
        <v>15.995095252990723</v>
      </c>
      <c r="T281">
        <f t="shared" si="15"/>
        <v>16</v>
      </c>
      <c r="U281">
        <f t="shared" si="13"/>
        <v>30600</v>
      </c>
    </row>
    <row r="282" spans="2:21" x14ac:dyDescent="0.25">
      <c r="B282" t="s">
        <v>2</v>
      </c>
      <c r="C282" t="s">
        <v>4</v>
      </c>
      <c r="D282" s="1">
        <v>0.70833333333333337</v>
      </c>
      <c r="E282">
        <v>14</v>
      </c>
      <c r="F282">
        <v>660</v>
      </c>
      <c r="G282">
        <v>2.7272727272727271</v>
      </c>
      <c r="H282">
        <v>5.1333333333333337</v>
      </c>
      <c r="I282" t="e">
        <v>#NAME?</v>
      </c>
      <c r="J282">
        <v>8</v>
      </c>
      <c r="K282" t="e">
        <v>#NAME?</v>
      </c>
      <c r="L282">
        <v>9</v>
      </c>
      <c r="M282">
        <v>7.5</v>
      </c>
      <c r="N282">
        <v>-1.5</v>
      </c>
      <c r="O282">
        <v>0.67407011985778809</v>
      </c>
      <c r="P282">
        <v>1</v>
      </c>
      <c r="Q282">
        <v>0.68444444444444441</v>
      </c>
      <c r="R282">
        <v>0.2</v>
      </c>
      <c r="S282">
        <f t="shared" si="14"/>
        <v>9.4369816780090332</v>
      </c>
      <c r="T282">
        <f t="shared" si="15"/>
        <v>14</v>
      </c>
      <c r="U282">
        <f t="shared" si="13"/>
        <v>13500</v>
      </c>
    </row>
    <row r="283" spans="2:21" x14ac:dyDescent="0.25">
      <c r="B283" t="s">
        <v>2</v>
      </c>
      <c r="C283" t="s">
        <v>4</v>
      </c>
      <c r="D283" s="1">
        <v>0.72916666666666663</v>
      </c>
      <c r="E283">
        <v>16</v>
      </c>
      <c r="F283">
        <v>660</v>
      </c>
      <c r="G283">
        <v>2.7272727272727271</v>
      </c>
      <c r="H283">
        <v>5.8666666666666671</v>
      </c>
      <c r="I283" t="e">
        <v>#NAME?</v>
      </c>
      <c r="J283">
        <v>9</v>
      </c>
      <c r="K283" t="e">
        <v>#NAME?</v>
      </c>
      <c r="L283">
        <v>10</v>
      </c>
      <c r="M283">
        <v>7</v>
      </c>
      <c r="N283">
        <v>-3</v>
      </c>
      <c r="O283">
        <v>0.27299186587333679</v>
      </c>
      <c r="P283">
        <v>1</v>
      </c>
      <c r="Q283">
        <v>0.83809523809523812</v>
      </c>
      <c r="R283">
        <v>0.2</v>
      </c>
      <c r="S283">
        <f t="shared" si="14"/>
        <v>4.3678698539733887</v>
      </c>
      <c r="T283">
        <f t="shared" si="15"/>
        <v>16</v>
      </c>
      <c r="U283">
        <f t="shared" si="13"/>
        <v>12600</v>
      </c>
    </row>
    <row r="284" spans="2:21" x14ac:dyDescent="0.25">
      <c r="B284" t="s">
        <v>2</v>
      </c>
      <c r="C284" t="s">
        <v>4</v>
      </c>
      <c r="D284" s="1">
        <v>0.75</v>
      </c>
      <c r="E284">
        <v>10</v>
      </c>
      <c r="F284">
        <v>660</v>
      </c>
      <c r="G284">
        <v>2.7272727272727271</v>
      </c>
      <c r="H284">
        <v>3.666666666666667</v>
      </c>
      <c r="I284" t="e">
        <v>#NAME?</v>
      </c>
      <c r="J284">
        <v>6</v>
      </c>
      <c r="K284" t="e">
        <v>#NAME?</v>
      </c>
      <c r="L284">
        <v>7</v>
      </c>
      <c r="M284">
        <v>5.5</v>
      </c>
      <c r="N284">
        <v>-1.5</v>
      </c>
      <c r="O284">
        <v>0.61309128999710083</v>
      </c>
      <c r="P284">
        <v>1</v>
      </c>
      <c r="Q284">
        <v>0.66666666666666663</v>
      </c>
      <c r="R284">
        <v>0.2</v>
      </c>
      <c r="S284">
        <f t="shared" si="14"/>
        <v>6.1309128999710083</v>
      </c>
      <c r="T284">
        <f t="shared" si="15"/>
        <v>10</v>
      </c>
      <c r="U284">
        <f t="shared" si="13"/>
        <v>9900</v>
      </c>
    </row>
    <row r="285" spans="2:21" x14ac:dyDescent="0.25">
      <c r="B285" t="s">
        <v>2</v>
      </c>
      <c r="C285" t="s">
        <v>4</v>
      </c>
      <c r="D285" s="1">
        <v>0.77083333333333337</v>
      </c>
      <c r="E285">
        <v>3</v>
      </c>
      <c r="F285">
        <v>660</v>
      </c>
      <c r="G285">
        <v>2.7272727272727271</v>
      </c>
      <c r="H285">
        <v>1.1000000000000001</v>
      </c>
      <c r="I285" t="e">
        <v>#NAME?</v>
      </c>
      <c r="J285">
        <v>3</v>
      </c>
      <c r="K285" t="e">
        <v>#NAME?</v>
      </c>
      <c r="L285">
        <v>4</v>
      </c>
      <c r="M285">
        <v>6</v>
      </c>
      <c r="N285">
        <v>2</v>
      </c>
      <c r="O285">
        <v>0.99518501758575439</v>
      </c>
      <c r="P285">
        <v>1</v>
      </c>
      <c r="Q285">
        <v>0.18333333333333332</v>
      </c>
      <c r="R285">
        <v>0.2</v>
      </c>
      <c r="S285">
        <f t="shared" si="14"/>
        <v>2.9855550527572632</v>
      </c>
      <c r="T285">
        <f t="shared" si="15"/>
        <v>3</v>
      </c>
      <c r="U285">
        <f t="shared" si="13"/>
        <v>10800</v>
      </c>
    </row>
    <row r="286" spans="2:21" x14ac:dyDescent="0.25">
      <c r="B286" t="s">
        <v>2</v>
      </c>
      <c r="C286" t="s">
        <v>4</v>
      </c>
      <c r="D286" s="1">
        <v>0.79166666666666663</v>
      </c>
      <c r="E286">
        <v>2</v>
      </c>
      <c r="F286">
        <v>660</v>
      </c>
      <c r="G286">
        <v>2.7272727272727271</v>
      </c>
      <c r="H286">
        <v>0.73333333333333339</v>
      </c>
      <c r="I286" t="e">
        <v>#NAME?</v>
      </c>
      <c r="J286">
        <v>2</v>
      </c>
      <c r="K286" t="e">
        <v>#NAME?</v>
      </c>
      <c r="L286">
        <v>3</v>
      </c>
      <c r="M286">
        <v>3</v>
      </c>
      <c r="N286">
        <v>0</v>
      </c>
      <c r="O286">
        <v>0.83795112371444702</v>
      </c>
      <c r="P286">
        <v>1</v>
      </c>
      <c r="Q286">
        <v>0.24444444444444444</v>
      </c>
      <c r="R286">
        <v>0.2</v>
      </c>
      <c r="S286">
        <f t="shared" si="14"/>
        <v>1.675902247428894</v>
      </c>
      <c r="T286">
        <f t="shared" si="15"/>
        <v>2</v>
      </c>
      <c r="U286">
        <f t="shared" si="13"/>
        <v>5400</v>
      </c>
    </row>
    <row r="287" spans="2:21" x14ac:dyDescent="0.25">
      <c r="B287" t="s">
        <v>2</v>
      </c>
      <c r="C287" t="s">
        <v>4</v>
      </c>
      <c r="D287" s="1">
        <v>0.8125</v>
      </c>
      <c r="E287">
        <v>1</v>
      </c>
      <c r="F287">
        <v>660</v>
      </c>
      <c r="G287">
        <v>2.7272727272727271</v>
      </c>
      <c r="H287">
        <v>0.3666666666666667</v>
      </c>
      <c r="I287" t="e">
        <v>#NAME?</v>
      </c>
      <c r="J287">
        <v>2</v>
      </c>
      <c r="K287" t="e">
        <v>#NAME?</v>
      </c>
      <c r="L287">
        <v>3</v>
      </c>
      <c r="M287">
        <v>2.5</v>
      </c>
      <c r="N287">
        <v>-0.5</v>
      </c>
      <c r="O287">
        <v>0.9482758641242981</v>
      </c>
      <c r="P287">
        <v>1</v>
      </c>
      <c r="Q287">
        <v>0.14666666666666667</v>
      </c>
      <c r="R287">
        <v>0.2</v>
      </c>
      <c r="S287">
        <f t="shared" si="14"/>
        <v>0.9482758641242981</v>
      </c>
      <c r="T287">
        <f t="shared" si="15"/>
        <v>1</v>
      </c>
      <c r="U287">
        <f t="shared" si="13"/>
        <v>4500</v>
      </c>
    </row>
    <row r="288" spans="2:21" x14ac:dyDescent="0.25">
      <c r="B288" t="s">
        <v>2</v>
      </c>
      <c r="C288" t="s">
        <v>4</v>
      </c>
      <c r="D288" s="1">
        <v>0.83333333333333337</v>
      </c>
      <c r="E288">
        <v>2</v>
      </c>
      <c r="F288">
        <v>660</v>
      </c>
      <c r="G288">
        <v>2.7272727272727271</v>
      </c>
      <c r="H288">
        <v>0.73333333333333339</v>
      </c>
      <c r="I288" t="e">
        <v>#NAME?</v>
      </c>
      <c r="J288">
        <v>2</v>
      </c>
      <c r="K288" t="e">
        <v>#NAME?</v>
      </c>
      <c r="L288">
        <v>3</v>
      </c>
      <c r="M288">
        <v>2</v>
      </c>
      <c r="N288">
        <v>-1</v>
      </c>
      <c r="O288">
        <v>0.47463485598564148</v>
      </c>
      <c r="P288">
        <v>1</v>
      </c>
      <c r="Q288">
        <v>0.36666666666666664</v>
      </c>
      <c r="R288">
        <v>0.2</v>
      </c>
      <c r="S288">
        <f t="shared" si="14"/>
        <v>0.94926971197128296</v>
      </c>
      <c r="T288">
        <f t="shared" si="15"/>
        <v>2</v>
      </c>
      <c r="U288">
        <f t="shared" si="13"/>
        <v>3600</v>
      </c>
    </row>
    <row r="289" spans="2:21" x14ac:dyDescent="0.25">
      <c r="B289" t="s">
        <v>2</v>
      </c>
      <c r="C289" t="s">
        <v>4</v>
      </c>
      <c r="D289" s="1">
        <v>0.85416666666666663</v>
      </c>
      <c r="E289">
        <v>1</v>
      </c>
      <c r="F289">
        <v>660</v>
      </c>
      <c r="G289">
        <v>2.7272727272727271</v>
      </c>
      <c r="H289">
        <v>0.3666666666666667</v>
      </c>
      <c r="I289" t="e">
        <v>#NAME?</v>
      </c>
      <c r="J289">
        <v>2</v>
      </c>
      <c r="K289" t="e">
        <v>#NAME?</v>
      </c>
      <c r="L289">
        <v>3</v>
      </c>
      <c r="M289">
        <v>1.5</v>
      </c>
      <c r="N289">
        <v>-1.5</v>
      </c>
      <c r="O289">
        <v>0.67991000413894653</v>
      </c>
      <c r="P289">
        <v>1</v>
      </c>
      <c r="Q289">
        <v>0.24444444444444444</v>
      </c>
      <c r="R289">
        <v>0.2</v>
      </c>
      <c r="S289">
        <f t="shared" si="14"/>
        <v>0.67991000413894653</v>
      </c>
      <c r="T289">
        <f t="shared" si="15"/>
        <v>1</v>
      </c>
      <c r="U289">
        <f t="shared" si="13"/>
        <v>2700</v>
      </c>
    </row>
    <row r="290" spans="2:21" x14ac:dyDescent="0.25">
      <c r="B290" t="s">
        <v>2</v>
      </c>
      <c r="C290" t="s">
        <v>4</v>
      </c>
      <c r="D290" s="1">
        <v>0.875</v>
      </c>
      <c r="E290">
        <v>4</v>
      </c>
      <c r="F290">
        <v>660</v>
      </c>
      <c r="G290">
        <v>2.7272727272727271</v>
      </c>
      <c r="H290">
        <v>1.4666666666666668</v>
      </c>
      <c r="I290" t="e">
        <v>#NAME?</v>
      </c>
      <c r="J290">
        <v>4</v>
      </c>
      <c r="K290" t="e">
        <v>#NAME?</v>
      </c>
      <c r="L290">
        <v>5</v>
      </c>
      <c r="M290">
        <v>2</v>
      </c>
      <c r="N290">
        <v>-3</v>
      </c>
      <c r="O290">
        <v>0.14586541056632996</v>
      </c>
      <c r="P290">
        <v>1</v>
      </c>
      <c r="Q290">
        <v>0.73333333333333328</v>
      </c>
      <c r="R290">
        <v>0.2</v>
      </c>
      <c r="S290">
        <f t="shared" si="14"/>
        <v>0.58346164226531982</v>
      </c>
      <c r="T290">
        <f t="shared" si="15"/>
        <v>4</v>
      </c>
      <c r="U290">
        <f t="shared" si="13"/>
        <v>3600</v>
      </c>
    </row>
    <row r="291" spans="2:21" x14ac:dyDescent="0.25">
      <c r="B291" t="s">
        <v>2</v>
      </c>
      <c r="C291" t="s">
        <v>4</v>
      </c>
      <c r="D291" s="1">
        <v>0.89583333333333337</v>
      </c>
      <c r="E291">
        <v>2</v>
      </c>
      <c r="F291">
        <v>660</v>
      </c>
      <c r="G291">
        <v>2.7272727272727271</v>
      </c>
      <c r="H291">
        <v>0.73333333333333339</v>
      </c>
      <c r="I291" t="e">
        <v>#NAME?</v>
      </c>
      <c r="J291">
        <v>2</v>
      </c>
      <c r="K291" t="e">
        <v>#NAME?</v>
      </c>
      <c r="L291">
        <v>3</v>
      </c>
      <c r="M291">
        <v>2</v>
      </c>
      <c r="N291">
        <v>-1</v>
      </c>
      <c r="O291">
        <v>0.47463485598564148</v>
      </c>
      <c r="P291">
        <v>1</v>
      </c>
      <c r="Q291">
        <v>0.36666666666666664</v>
      </c>
      <c r="R291">
        <v>0.2</v>
      </c>
      <c r="S291">
        <f t="shared" si="14"/>
        <v>0.94926971197128296</v>
      </c>
      <c r="T291">
        <f t="shared" si="15"/>
        <v>2</v>
      </c>
      <c r="U291">
        <f t="shared" si="13"/>
        <v>3600</v>
      </c>
    </row>
    <row r="292" spans="2:21" x14ac:dyDescent="0.25">
      <c r="B292" t="s">
        <v>2</v>
      </c>
      <c r="C292" t="s">
        <v>5</v>
      </c>
      <c r="D292" s="1">
        <v>0.25</v>
      </c>
      <c r="E292">
        <v>4</v>
      </c>
      <c r="F292">
        <v>660</v>
      </c>
      <c r="G292">
        <v>2.7272727272727271</v>
      </c>
      <c r="H292">
        <v>1.4666666666666668</v>
      </c>
      <c r="I292" t="e">
        <v>#NAME?</v>
      </c>
      <c r="J292">
        <v>4</v>
      </c>
      <c r="K292" t="e">
        <v>#NAME?</v>
      </c>
      <c r="L292">
        <v>4</v>
      </c>
      <c r="M292">
        <v>2</v>
      </c>
      <c r="N292">
        <v>-2</v>
      </c>
      <c r="O292">
        <v>0.3894350528717041</v>
      </c>
      <c r="P292">
        <v>1</v>
      </c>
      <c r="Q292">
        <v>0.73333333333333328</v>
      </c>
      <c r="R292">
        <v>0.2</v>
      </c>
      <c r="S292">
        <f t="shared" si="14"/>
        <v>1.5577402114868164</v>
      </c>
      <c r="T292">
        <f t="shared" si="15"/>
        <v>4</v>
      </c>
      <c r="U292">
        <f t="shared" si="13"/>
        <v>3600</v>
      </c>
    </row>
    <row r="293" spans="2:21" x14ac:dyDescent="0.25">
      <c r="B293" t="s">
        <v>2</v>
      </c>
      <c r="C293" t="s">
        <v>5</v>
      </c>
      <c r="D293" s="1">
        <v>0.27083333333333331</v>
      </c>
      <c r="E293">
        <v>0</v>
      </c>
      <c r="F293">
        <v>0</v>
      </c>
      <c r="G293">
        <v>2.7272727272727271</v>
      </c>
      <c r="H293">
        <v>0</v>
      </c>
      <c r="I293" t="e">
        <v>#NAME?</v>
      </c>
      <c r="J293">
        <v>1</v>
      </c>
      <c r="K293" t="e">
        <v>#NAME?</v>
      </c>
      <c r="L293">
        <v>1</v>
      </c>
      <c r="M293">
        <v>2</v>
      </c>
      <c r="N293">
        <v>1</v>
      </c>
      <c r="O293" t="s">
        <v>72</v>
      </c>
      <c r="P293" t="s">
        <v>72</v>
      </c>
      <c r="Q293">
        <v>0</v>
      </c>
      <c r="R293">
        <v>0.2</v>
      </c>
      <c r="S293" t="str">
        <f t="shared" si="14"/>
        <v/>
      </c>
      <c r="T293" t="str">
        <f t="shared" si="15"/>
        <v/>
      </c>
      <c r="U293">
        <f t="shared" ref="U293:U356" si="16">+M293*1800</f>
        <v>3600</v>
      </c>
    </row>
    <row r="294" spans="2:21" x14ac:dyDescent="0.25">
      <c r="B294" t="s">
        <v>2</v>
      </c>
      <c r="C294" t="s">
        <v>5</v>
      </c>
      <c r="D294" s="1">
        <v>0.29166666666666669</v>
      </c>
      <c r="E294">
        <v>8</v>
      </c>
      <c r="F294">
        <v>660</v>
      </c>
      <c r="G294">
        <v>2.7272727272727271</v>
      </c>
      <c r="H294">
        <v>2.9333333333333336</v>
      </c>
      <c r="I294" t="e">
        <v>#NAME?</v>
      </c>
      <c r="J294">
        <v>6</v>
      </c>
      <c r="K294" t="e">
        <v>#NAME?</v>
      </c>
      <c r="L294">
        <v>6</v>
      </c>
      <c r="M294">
        <v>5</v>
      </c>
      <c r="N294">
        <v>-1</v>
      </c>
      <c r="O294">
        <v>0.7933889627456665</v>
      </c>
      <c r="P294">
        <v>1</v>
      </c>
      <c r="Q294">
        <v>0.58666666666666667</v>
      </c>
      <c r="R294">
        <v>0.2</v>
      </c>
      <c r="S294">
        <f t="shared" si="14"/>
        <v>6.347111701965332</v>
      </c>
      <c r="T294">
        <f t="shared" si="15"/>
        <v>8</v>
      </c>
      <c r="U294">
        <f t="shared" si="16"/>
        <v>9000</v>
      </c>
    </row>
    <row r="295" spans="2:21" x14ac:dyDescent="0.25">
      <c r="B295" t="s">
        <v>2</v>
      </c>
      <c r="C295" t="s">
        <v>5</v>
      </c>
      <c r="D295" s="1">
        <v>0.3125</v>
      </c>
      <c r="E295">
        <v>16</v>
      </c>
      <c r="F295">
        <v>660</v>
      </c>
      <c r="G295">
        <v>2.7272727272727271</v>
      </c>
      <c r="H295">
        <v>5.8666666666666671</v>
      </c>
      <c r="I295" t="e">
        <v>#NAME?</v>
      </c>
      <c r="J295">
        <v>9</v>
      </c>
      <c r="K295" t="e">
        <v>#NAME?</v>
      </c>
      <c r="L295">
        <v>9</v>
      </c>
      <c r="M295">
        <v>5</v>
      </c>
      <c r="N295">
        <v>-4</v>
      </c>
      <c r="O295">
        <v>0</v>
      </c>
      <c r="P295">
        <v>0.99715909090909105</v>
      </c>
      <c r="Q295">
        <v>1</v>
      </c>
      <c r="R295">
        <v>0.2</v>
      </c>
      <c r="S295">
        <f t="shared" si="14"/>
        <v>0</v>
      </c>
      <c r="T295">
        <f t="shared" si="15"/>
        <v>15.954545454545457</v>
      </c>
      <c r="U295">
        <f t="shared" si="16"/>
        <v>9000</v>
      </c>
    </row>
    <row r="296" spans="2:21" x14ac:dyDescent="0.25">
      <c r="B296" t="s">
        <v>2</v>
      </c>
      <c r="C296" t="s">
        <v>5</v>
      </c>
      <c r="D296" s="1">
        <v>0.33333333333333331</v>
      </c>
      <c r="E296">
        <v>30</v>
      </c>
      <c r="F296">
        <v>660</v>
      </c>
      <c r="G296">
        <v>2.7272727272727271</v>
      </c>
      <c r="H296">
        <v>11</v>
      </c>
      <c r="I296" t="e">
        <v>#NAME?</v>
      </c>
      <c r="J296">
        <v>15</v>
      </c>
      <c r="K296" t="e">
        <v>#NAME?</v>
      </c>
      <c r="L296">
        <v>15</v>
      </c>
      <c r="M296">
        <v>13</v>
      </c>
      <c r="N296">
        <v>-2</v>
      </c>
      <c r="O296">
        <v>0.56106597185134888</v>
      </c>
      <c r="P296">
        <v>0.88636363636363635</v>
      </c>
      <c r="Q296">
        <v>0.84615384615384615</v>
      </c>
      <c r="R296">
        <v>0.2</v>
      </c>
      <c r="S296">
        <f t="shared" si="14"/>
        <v>16.831979155540466</v>
      </c>
      <c r="T296">
        <f t="shared" si="15"/>
        <v>26.59090909090909</v>
      </c>
      <c r="U296">
        <f t="shared" si="16"/>
        <v>23400</v>
      </c>
    </row>
    <row r="297" spans="2:21" x14ac:dyDescent="0.25">
      <c r="B297" t="s">
        <v>2</v>
      </c>
      <c r="C297" t="s">
        <v>5</v>
      </c>
      <c r="D297" s="1">
        <v>0.35416666666666669</v>
      </c>
      <c r="E297">
        <v>23</v>
      </c>
      <c r="F297">
        <v>660</v>
      </c>
      <c r="G297">
        <v>2.7272727272727271</v>
      </c>
      <c r="H297">
        <v>8.4333333333333336</v>
      </c>
      <c r="I297" t="e">
        <v>#NAME?</v>
      </c>
      <c r="J297">
        <v>12</v>
      </c>
      <c r="K297" t="e">
        <v>#NAME?</v>
      </c>
      <c r="L297">
        <v>12</v>
      </c>
      <c r="M297">
        <v>13.5</v>
      </c>
      <c r="N297">
        <v>1.5</v>
      </c>
      <c r="O297">
        <v>0.91414105892181396</v>
      </c>
      <c r="P297">
        <v>0.9249011857707512</v>
      </c>
      <c r="Q297">
        <v>0.62469135802469133</v>
      </c>
      <c r="R297">
        <v>0.2</v>
      </c>
      <c r="S297">
        <f t="shared" si="14"/>
        <v>21.025244355201721</v>
      </c>
      <c r="T297">
        <f t="shared" si="15"/>
        <v>21.272727272727277</v>
      </c>
      <c r="U297">
        <f t="shared" si="16"/>
        <v>24300</v>
      </c>
    </row>
    <row r="298" spans="2:21" x14ac:dyDescent="0.25">
      <c r="B298" t="s">
        <v>2</v>
      </c>
      <c r="C298" t="s">
        <v>5</v>
      </c>
      <c r="D298" s="1">
        <v>0.375</v>
      </c>
      <c r="E298">
        <v>25</v>
      </c>
      <c r="F298">
        <v>660</v>
      </c>
      <c r="G298">
        <v>2.7272727272727271</v>
      </c>
      <c r="H298">
        <v>9.1666666666666679</v>
      </c>
      <c r="I298" t="e">
        <v>#NAME?</v>
      </c>
      <c r="J298">
        <v>13</v>
      </c>
      <c r="K298" t="e">
        <v>#NAME?</v>
      </c>
      <c r="L298">
        <v>13</v>
      </c>
      <c r="M298">
        <v>15.5</v>
      </c>
      <c r="N298">
        <v>2.5</v>
      </c>
      <c r="O298">
        <v>0.95650511980056763</v>
      </c>
      <c r="P298">
        <v>0.92181818181818187</v>
      </c>
      <c r="Q298">
        <v>0.59139784946236562</v>
      </c>
      <c r="R298">
        <v>0.2</v>
      </c>
      <c r="S298">
        <f t="shared" si="14"/>
        <v>23.912627995014191</v>
      </c>
      <c r="T298">
        <f t="shared" si="15"/>
        <v>23.045454545454547</v>
      </c>
      <c r="U298">
        <f t="shared" si="16"/>
        <v>27900</v>
      </c>
    </row>
    <row r="299" spans="2:21" x14ac:dyDescent="0.25">
      <c r="B299" t="s">
        <v>2</v>
      </c>
      <c r="C299" t="s">
        <v>5</v>
      </c>
      <c r="D299" s="1">
        <v>0.39583333333333331</v>
      </c>
      <c r="E299">
        <v>24</v>
      </c>
      <c r="F299">
        <v>660</v>
      </c>
      <c r="G299">
        <v>2.7272727272727271</v>
      </c>
      <c r="H299">
        <v>8.8000000000000007</v>
      </c>
      <c r="I299" t="e">
        <v>#NAME?</v>
      </c>
      <c r="J299">
        <v>13</v>
      </c>
      <c r="K299" t="e">
        <v>#NAME?</v>
      </c>
      <c r="L299">
        <v>13</v>
      </c>
      <c r="M299">
        <v>14.5</v>
      </c>
      <c r="N299">
        <v>1.5</v>
      </c>
      <c r="O299">
        <v>0.93875902891159058</v>
      </c>
      <c r="P299">
        <v>0.96022727272727282</v>
      </c>
      <c r="Q299">
        <v>0.60689655172413792</v>
      </c>
      <c r="R299">
        <v>0.2</v>
      </c>
      <c r="S299">
        <f t="shared" si="14"/>
        <v>22.530216693878174</v>
      </c>
      <c r="T299">
        <f t="shared" si="15"/>
        <v>23.045454545454547</v>
      </c>
      <c r="U299">
        <f t="shared" si="16"/>
        <v>26100</v>
      </c>
    </row>
    <row r="300" spans="2:21" x14ac:dyDescent="0.25">
      <c r="B300" t="s">
        <v>2</v>
      </c>
      <c r="C300" t="s">
        <v>5</v>
      </c>
      <c r="D300" s="1">
        <v>0.41666666666666669</v>
      </c>
      <c r="E300">
        <v>24</v>
      </c>
      <c r="F300">
        <v>660</v>
      </c>
      <c r="G300">
        <v>2.7272727272727271</v>
      </c>
      <c r="H300">
        <v>8.8000000000000007</v>
      </c>
      <c r="I300" t="e">
        <v>#NAME?</v>
      </c>
      <c r="J300">
        <v>13</v>
      </c>
      <c r="K300" t="e">
        <v>#NAME?</v>
      </c>
      <c r="L300">
        <v>13</v>
      </c>
      <c r="M300">
        <v>18.5</v>
      </c>
      <c r="N300">
        <v>5.5</v>
      </c>
      <c r="O300">
        <v>0.99664884805679321</v>
      </c>
      <c r="P300">
        <v>0.96022727272727282</v>
      </c>
      <c r="Q300">
        <v>0.4756756756756757</v>
      </c>
      <c r="R300">
        <v>0.2</v>
      </c>
      <c r="S300">
        <f t="shared" si="14"/>
        <v>23.919572353363037</v>
      </c>
      <c r="T300">
        <f t="shared" si="15"/>
        <v>23.045454545454547</v>
      </c>
      <c r="U300">
        <f t="shared" si="16"/>
        <v>33300</v>
      </c>
    </row>
    <row r="301" spans="2:21" x14ac:dyDescent="0.25">
      <c r="B301" t="s">
        <v>2</v>
      </c>
      <c r="C301" t="s">
        <v>5</v>
      </c>
      <c r="D301" s="1">
        <v>0.4375</v>
      </c>
      <c r="E301">
        <v>17</v>
      </c>
      <c r="F301">
        <v>660</v>
      </c>
      <c r="G301">
        <v>2.7272727272727271</v>
      </c>
      <c r="H301">
        <v>6.2333333333333334</v>
      </c>
      <c r="I301" t="e">
        <v>#NAME?</v>
      </c>
      <c r="J301">
        <v>10</v>
      </c>
      <c r="K301" t="e">
        <v>#NAME?</v>
      </c>
      <c r="L301">
        <v>10</v>
      </c>
      <c r="M301">
        <v>16.5</v>
      </c>
      <c r="N301">
        <v>6.5</v>
      </c>
      <c r="O301">
        <v>0.99942624568939209</v>
      </c>
      <c r="P301">
        <v>1</v>
      </c>
      <c r="Q301">
        <v>0.37777777777777777</v>
      </c>
      <c r="R301">
        <v>0.2</v>
      </c>
      <c r="S301">
        <f t="shared" si="14"/>
        <v>16.990246176719666</v>
      </c>
      <c r="T301">
        <f t="shared" si="15"/>
        <v>17</v>
      </c>
      <c r="U301">
        <f t="shared" si="16"/>
        <v>29700</v>
      </c>
    </row>
    <row r="302" spans="2:21" x14ac:dyDescent="0.25">
      <c r="B302" t="s">
        <v>2</v>
      </c>
      <c r="C302" t="s">
        <v>5</v>
      </c>
      <c r="D302" s="1">
        <v>0.45833333333333331</v>
      </c>
      <c r="E302">
        <v>17</v>
      </c>
      <c r="F302">
        <v>660</v>
      </c>
      <c r="G302">
        <v>2.7272727272727271</v>
      </c>
      <c r="H302">
        <v>6.2333333333333334</v>
      </c>
      <c r="I302" t="e">
        <v>#NAME?</v>
      </c>
      <c r="J302">
        <v>10</v>
      </c>
      <c r="K302" t="e">
        <v>#NAME?</v>
      </c>
      <c r="L302">
        <v>10</v>
      </c>
      <c r="M302">
        <v>18</v>
      </c>
      <c r="N302">
        <v>8</v>
      </c>
      <c r="O302">
        <v>0.99993371963500977</v>
      </c>
      <c r="P302">
        <v>1</v>
      </c>
      <c r="Q302">
        <v>0.34629629629629627</v>
      </c>
      <c r="R302">
        <v>0.2</v>
      </c>
      <c r="S302">
        <f t="shared" si="14"/>
        <v>16.998873233795166</v>
      </c>
      <c r="T302">
        <f t="shared" si="15"/>
        <v>17</v>
      </c>
      <c r="U302">
        <f t="shared" si="16"/>
        <v>32400</v>
      </c>
    </row>
    <row r="303" spans="2:21" x14ac:dyDescent="0.25">
      <c r="B303" t="s">
        <v>2</v>
      </c>
      <c r="C303" t="s">
        <v>5</v>
      </c>
      <c r="D303" s="1">
        <v>0.47916666666666669</v>
      </c>
      <c r="E303">
        <v>17</v>
      </c>
      <c r="F303">
        <v>660</v>
      </c>
      <c r="G303">
        <v>2.7272727272727271</v>
      </c>
      <c r="H303">
        <v>6.2333333333333334</v>
      </c>
      <c r="I303" t="e">
        <v>#NAME?</v>
      </c>
      <c r="J303">
        <v>10</v>
      </c>
      <c r="K303" t="e">
        <v>#NAME?</v>
      </c>
      <c r="L303">
        <v>10</v>
      </c>
      <c r="M303">
        <v>18</v>
      </c>
      <c r="N303">
        <v>8</v>
      </c>
      <c r="O303">
        <v>0.99993371963500977</v>
      </c>
      <c r="P303">
        <v>1</v>
      </c>
      <c r="Q303">
        <v>0.34629629629629627</v>
      </c>
      <c r="R303">
        <v>0.2</v>
      </c>
      <c r="S303">
        <f t="shared" si="14"/>
        <v>16.998873233795166</v>
      </c>
      <c r="T303">
        <f t="shared" si="15"/>
        <v>17</v>
      </c>
      <c r="U303">
        <f t="shared" si="16"/>
        <v>32400</v>
      </c>
    </row>
    <row r="304" spans="2:21" x14ac:dyDescent="0.25">
      <c r="B304" t="s">
        <v>2</v>
      </c>
      <c r="C304" t="s">
        <v>5</v>
      </c>
      <c r="D304" s="1">
        <v>0.5</v>
      </c>
      <c r="E304">
        <v>12</v>
      </c>
      <c r="F304">
        <v>660</v>
      </c>
      <c r="G304">
        <v>2.7272727272727271</v>
      </c>
      <c r="H304">
        <v>4.4000000000000004</v>
      </c>
      <c r="I304" t="e">
        <v>#NAME?</v>
      </c>
      <c r="J304">
        <v>7</v>
      </c>
      <c r="K304" t="e">
        <v>#NAME?</v>
      </c>
      <c r="L304">
        <v>7</v>
      </c>
      <c r="M304">
        <v>11</v>
      </c>
      <c r="N304">
        <v>4</v>
      </c>
      <c r="O304">
        <v>0.99497973918914795</v>
      </c>
      <c r="P304">
        <v>1</v>
      </c>
      <c r="Q304">
        <v>0.4</v>
      </c>
      <c r="R304">
        <v>0.2</v>
      </c>
      <c r="S304">
        <f t="shared" si="14"/>
        <v>11.939756870269775</v>
      </c>
      <c r="T304">
        <f t="shared" si="15"/>
        <v>12</v>
      </c>
      <c r="U304">
        <f t="shared" si="16"/>
        <v>19800</v>
      </c>
    </row>
    <row r="305" spans="2:21" x14ac:dyDescent="0.25">
      <c r="B305" t="s">
        <v>2</v>
      </c>
      <c r="C305" t="s">
        <v>5</v>
      </c>
      <c r="D305" s="1">
        <v>0.52083333333333337</v>
      </c>
      <c r="E305">
        <v>6</v>
      </c>
      <c r="F305">
        <v>660</v>
      </c>
      <c r="G305">
        <v>2.7272727272727271</v>
      </c>
      <c r="H305">
        <v>2.2000000000000002</v>
      </c>
      <c r="I305" t="e">
        <v>#NAME?</v>
      </c>
      <c r="J305">
        <v>5</v>
      </c>
      <c r="K305" t="e">
        <v>#NAME?</v>
      </c>
      <c r="L305">
        <v>5</v>
      </c>
      <c r="M305">
        <v>7.5</v>
      </c>
      <c r="N305">
        <v>2.5</v>
      </c>
      <c r="O305">
        <v>0.99339330196380615</v>
      </c>
      <c r="P305">
        <v>1</v>
      </c>
      <c r="Q305">
        <v>0.29333333333333333</v>
      </c>
      <c r="R305">
        <v>0.2</v>
      </c>
      <c r="S305">
        <f t="shared" si="14"/>
        <v>5.9603598117828369</v>
      </c>
      <c r="T305">
        <f t="shared" si="15"/>
        <v>6</v>
      </c>
      <c r="U305">
        <f t="shared" si="16"/>
        <v>13500</v>
      </c>
    </row>
    <row r="306" spans="2:21" x14ac:dyDescent="0.25">
      <c r="B306" t="s">
        <v>2</v>
      </c>
      <c r="C306" t="s">
        <v>5</v>
      </c>
      <c r="D306" s="1">
        <v>0.54166666666666663</v>
      </c>
      <c r="E306">
        <v>7</v>
      </c>
      <c r="F306">
        <v>660</v>
      </c>
      <c r="G306">
        <v>2.7272727272727271</v>
      </c>
      <c r="H306">
        <v>2.5666666666666669</v>
      </c>
      <c r="I306" t="e">
        <v>#NAME?</v>
      </c>
      <c r="J306">
        <v>5</v>
      </c>
      <c r="K306" t="e">
        <v>#NAME?</v>
      </c>
      <c r="L306">
        <v>5</v>
      </c>
      <c r="M306">
        <v>13</v>
      </c>
      <c r="N306">
        <v>8</v>
      </c>
      <c r="O306">
        <v>0.99999767541885376</v>
      </c>
      <c r="P306">
        <v>1</v>
      </c>
      <c r="Q306">
        <v>0.19743589743589743</v>
      </c>
      <c r="R306">
        <v>0.2</v>
      </c>
      <c r="S306">
        <f t="shared" si="14"/>
        <v>6.9999837279319763</v>
      </c>
      <c r="T306">
        <f t="shared" si="15"/>
        <v>7</v>
      </c>
      <c r="U306">
        <f t="shared" si="16"/>
        <v>23400</v>
      </c>
    </row>
    <row r="307" spans="2:21" x14ac:dyDescent="0.25">
      <c r="B307" t="s">
        <v>2</v>
      </c>
      <c r="C307" t="s">
        <v>5</v>
      </c>
      <c r="D307" s="1">
        <v>0.5625</v>
      </c>
      <c r="E307">
        <v>7</v>
      </c>
      <c r="F307">
        <v>660</v>
      </c>
      <c r="G307">
        <v>2.7272727272727271</v>
      </c>
      <c r="H307">
        <v>2.5666666666666669</v>
      </c>
      <c r="I307" t="e">
        <v>#NAME?</v>
      </c>
      <c r="J307">
        <v>5</v>
      </c>
      <c r="K307" t="e">
        <v>#NAME?</v>
      </c>
      <c r="L307">
        <v>5</v>
      </c>
      <c r="M307">
        <v>15</v>
      </c>
      <c r="N307">
        <v>10</v>
      </c>
      <c r="O307">
        <v>0.99999994039535522</v>
      </c>
      <c r="P307">
        <v>1</v>
      </c>
      <c r="Q307">
        <v>0.1711111111111111</v>
      </c>
      <c r="R307">
        <v>0.2</v>
      </c>
      <c r="S307">
        <f t="shared" si="14"/>
        <v>6.9999995827674866</v>
      </c>
      <c r="T307">
        <f t="shared" si="15"/>
        <v>7</v>
      </c>
      <c r="U307">
        <f t="shared" si="16"/>
        <v>27000</v>
      </c>
    </row>
    <row r="308" spans="2:21" x14ac:dyDescent="0.25">
      <c r="B308" t="s">
        <v>2</v>
      </c>
      <c r="C308" t="s">
        <v>5</v>
      </c>
      <c r="D308" s="1">
        <v>0.58333333333333337</v>
      </c>
      <c r="E308">
        <v>15</v>
      </c>
      <c r="F308">
        <v>660</v>
      </c>
      <c r="G308">
        <v>2.7272727272727271</v>
      </c>
      <c r="H308">
        <v>5.5</v>
      </c>
      <c r="I308" t="e">
        <v>#NAME?</v>
      </c>
      <c r="J308">
        <v>9</v>
      </c>
      <c r="K308" t="e">
        <v>#NAME?</v>
      </c>
      <c r="L308">
        <v>9</v>
      </c>
      <c r="M308">
        <v>14</v>
      </c>
      <c r="N308">
        <v>5</v>
      </c>
      <c r="O308">
        <v>0.99861693382263184</v>
      </c>
      <c r="P308">
        <v>1</v>
      </c>
      <c r="Q308">
        <v>0.39285714285714285</v>
      </c>
      <c r="R308">
        <v>0.2</v>
      </c>
      <c r="S308">
        <f t="shared" si="14"/>
        <v>14.979254007339478</v>
      </c>
      <c r="T308">
        <f t="shared" si="15"/>
        <v>15</v>
      </c>
      <c r="U308">
        <f t="shared" si="16"/>
        <v>25200</v>
      </c>
    </row>
    <row r="309" spans="2:21" x14ac:dyDescent="0.25">
      <c r="B309" t="s">
        <v>2</v>
      </c>
      <c r="C309" t="s">
        <v>5</v>
      </c>
      <c r="D309" s="1">
        <v>0.60416666666666663</v>
      </c>
      <c r="E309">
        <v>14</v>
      </c>
      <c r="F309">
        <v>660</v>
      </c>
      <c r="G309">
        <v>2.7272727272727271</v>
      </c>
      <c r="H309">
        <v>5.1333333333333337</v>
      </c>
      <c r="I309" t="e">
        <v>#NAME?</v>
      </c>
      <c r="J309">
        <v>8</v>
      </c>
      <c r="K309" t="e">
        <v>#NAME?</v>
      </c>
      <c r="L309">
        <v>8</v>
      </c>
      <c r="M309">
        <v>14.5</v>
      </c>
      <c r="N309">
        <v>6.5</v>
      </c>
      <c r="O309">
        <v>0.99930447340011597</v>
      </c>
      <c r="P309">
        <v>1</v>
      </c>
      <c r="Q309">
        <v>0.35402298850574715</v>
      </c>
      <c r="R309">
        <v>0.2</v>
      </c>
      <c r="S309">
        <f t="shared" si="14"/>
        <v>13.990262627601624</v>
      </c>
      <c r="T309">
        <f t="shared" si="15"/>
        <v>14</v>
      </c>
      <c r="U309">
        <f t="shared" si="16"/>
        <v>26100</v>
      </c>
    </row>
    <row r="310" spans="2:21" x14ac:dyDescent="0.25">
      <c r="B310" t="s">
        <v>2</v>
      </c>
      <c r="C310" t="s">
        <v>5</v>
      </c>
      <c r="D310" s="1">
        <v>0.625</v>
      </c>
      <c r="E310">
        <v>13</v>
      </c>
      <c r="F310">
        <v>660</v>
      </c>
      <c r="G310">
        <v>2.7272727272727271</v>
      </c>
      <c r="H310">
        <v>4.7666666666666666</v>
      </c>
      <c r="I310" t="e">
        <v>#NAME?</v>
      </c>
      <c r="J310">
        <v>8</v>
      </c>
      <c r="K310" t="e">
        <v>#NAME?</v>
      </c>
      <c r="L310">
        <v>8</v>
      </c>
      <c r="M310">
        <v>17.5</v>
      </c>
      <c r="N310">
        <v>9.5</v>
      </c>
      <c r="O310">
        <v>0.99999243021011353</v>
      </c>
      <c r="P310">
        <v>1</v>
      </c>
      <c r="Q310">
        <v>0.27238095238095239</v>
      </c>
      <c r="R310">
        <v>0.2</v>
      </c>
      <c r="S310">
        <f t="shared" si="14"/>
        <v>12.999901592731476</v>
      </c>
      <c r="T310">
        <f t="shared" si="15"/>
        <v>13</v>
      </c>
      <c r="U310">
        <f t="shared" si="16"/>
        <v>31500</v>
      </c>
    </row>
    <row r="311" spans="2:21" x14ac:dyDescent="0.25">
      <c r="B311" t="s">
        <v>2</v>
      </c>
      <c r="C311" t="s">
        <v>5</v>
      </c>
      <c r="D311" s="1">
        <v>0.64583333333333337</v>
      </c>
      <c r="E311">
        <v>11</v>
      </c>
      <c r="F311">
        <v>660</v>
      </c>
      <c r="G311">
        <v>2.7272727272727271</v>
      </c>
      <c r="H311">
        <v>4.0333333333333332</v>
      </c>
      <c r="I311" t="e">
        <v>#NAME?</v>
      </c>
      <c r="J311">
        <v>7</v>
      </c>
      <c r="K311" t="e">
        <v>#NAME?</v>
      </c>
      <c r="L311">
        <v>7</v>
      </c>
      <c r="M311">
        <v>19</v>
      </c>
      <c r="N311">
        <v>12</v>
      </c>
      <c r="O311">
        <v>0.99999994039535522</v>
      </c>
      <c r="P311">
        <v>1</v>
      </c>
      <c r="Q311">
        <v>0.21228070175438596</v>
      </c>
      <c r="R311">
        <v>0.2</v>
      </c>
      <c r="S311">
        <f t="shared" si="14"/>
        <v>10.999999344348907</v>
      </c>
      <c r="T311">
        <f t="shared" si="15"/>
        <v>11</v>
      </c>
      <c r="U311">
        <f t="shared" si="16"/>
        <v>34200</v>
      </c>
    </row>
    <row r="312" spans="2:21" x14ac:dyDescent="0.25">
      <c r="B312" t="s">
        <v>2</v>
      </c>
      <c r="C312" t="s">
        <v>5</v>
      </c>
      <c r="D312" s="1">
        <v>0.66666666666666663</v>
      </c>
      <c r="E312">
        <v>16</v>
      </c>
      <c r="F312">
        <v>660</v>
      </c>
      <c r="G312">
        <v>2.7272727272727271</v>
      </c>
      <c r="H312">
        <v>5.8666666666666671</v>
      </c>
      <c r="I312" t="e">
        <v>#NAME?</v>
      </c>
      <c r="J312">
        <v>9</v>
      </c>
      <c r="K312" t="e">
        <v>#NAME?</v>
      </c>
      <c r="L312">
        <v>9</v>
      </c>
      <c r="M312">
        <v>16</v>
      </c>
      <c r="N312">
        <v>7</v>
      </c>
      <c r="O312">
        <v>0.99969041347503662</v>
      </c>
      <c r="P312">
        <v>0.99715909090909105</v>
      </c>
      <c r="Q312">
        <v>0.36666666666666664</v>
      </c>
      <c r="R312">
        <v>0.2</v>
      </c>
      <c r="S312">
        <f t="shared" si="14"/>
        <v>15.995046615600586</v>
      </c>
      <c r="T312">
        <f t="shared" si="15"/>
        <v>15.954545454545457</v>
      </c>
      <c r="U312">
        <f t="shared" si="16"/>
        <v>28800</v>
      </c>
    </row>
    <row r="313" spans="2:21" x14ac:dyDescent="0.25">
      <c r="B313" t="s">
        <v>2</v>
      </c>
      <c r="C313" t="s">
        <v>5</v>
      </c>
      <c r="D313" s="1">
        <v>0.6875</v>
      </c>
      <c r="E313">
        <v>17</v>
      </c>
      <c r="F313">
        <v>660</v>
      </c>
      <c r="G313">
        <v>2.7272727272727271</v>
      </c>
      <c r="H313">
        <v>6.2333333333333334</v>
      </c>
      <c r="I313" t="e">
        <v>#NAME?</v>
      </c>
      <c r="J313">
        <v>10</v>
      </c>
      <c r="K313" t="e">
        <v>#NAME?</v>
      </c>
      <c r="L313">
        <v>10</v>
      </c>
      <c r="M313">
        <v>17</v>
      </c>
      <c r="N313">
        <v>7</v>
      </c>
      <c r="O313">
        <v>0.99979639053344727</v>
      </c>
      <c r="P313">
        <v>1</v>
      </c>
      <c r="Q313">
        <v>0.36666666666666664</v>
      </c>
      <c r="R313">
        <v>0.2</v>
      </c>
      <c r="S313">
        <f t="shared" si="14"/>
        <v>16.996538639068604</v>
      </c>
      <c r="T313">
        <f t="shared" si="15"/>
        <v>17</v>
      </c>
      <c r="U313">
        <f t="shared" si="16"/>
        <v>30600</v>
      </c>
    </row>
    <row r="314" spans="2:21" x14ac:dyDescent="0.25">
      <c r="B314" t="s">
        <v>2</v>
      </c>
      <c r="C314" t="s">
        <v>5</v>
      </c>
      <c r="D314" s="1">
        <v>0.70833333333333337</v>
      </c>
      <c r="E314">
        <v>13</v>
      </c>
      <c r="F314">
        <v>660</v>
      </c>
      <c r="G314">
        <v>2.7272727272727271</v>
      </c>
      <c r="H314">
        <v>4.7666666666666666</v>
      </c>
      <c r="I314" t="e">
        <v>#NAME?</v>
      </c>
      <c r="J314">
        <v>8</v>
      </c>
      <c r="K314" t="e">
        <v>#NAME?</v>
      </c>
      <c r="L314">
        <v>8</v>
      </c>
      <c r="M314">
        <v>7.5</v>
      </c>
      <c r="N314">
        <v>-0.5</v>
      </c>
      <c r="O314">
        <v>0.77389639616012573</v>
      </c>
      <c r="P314">
        <v>1</v>
      </c>
      <c r="Q314">
        <v>0.63555555555555554</v>
      </c>
      <c r="R314">
        <v>0.2</v>
      </c>
      <c r="S314">
        <f t="shared" si="14"/>
        <v>10.060653150081635</v>
      </c>
      <c r="T314">
        <f t="shared" si="15"/>
        <v>13</v>
      </c>
      <c r="U314">
        <f t="shared" si="16"/>
        <v>13500</v>
      </c>
    </row>
    <row r="315" spans="2:21" x14ac:dyDescent="0.25">
      <c r="B315" t="s">
        <v>2</v>
      </c>
      <c r="C315" t="s">
        <v>5</v>
      </c>
      <c r="D315" s="1">
        <v>0.72916666666666663</v>
      </c>
      <c r="E315">
        <v>8</v>
      </c>
      <c r="F315">
        <v>660</v>
      </c>
      <c r="G315">
        <v>2.7272727272727271</v>
      </c>
      <c r="H315">
        <v>2.9333333333333336</v>
      </c>
      <c r="I315" t="e">
        <v>#NAME?</v>
      </c>
      <c r="J315">
        <v>6</v>
      </c>
      <c r="K315" t="e">
        <v>#NAME?</v>
      </c>
      <c r="L315">
        <v>6</v>
      </c>
      <c r="M315">
        <v>7</v>
      </c>
      <c r="N315">
        <v>1</v>
      </c>
      <c r="O315">
        <v>0.97008401155471802</v>
      </c>
      <c r="P315">
        <v>1</v>
      </c>
      <c r="Q315">
        <v>0.41904761904761906</v>
      </c>
      <c r="R315">
        <v>0.2</v>
      </c>
      <c r="S315">
        <f t="shared" si="14"/>
        <v>7.7606720924377441</v>
      </c>
      <c r="T315">
        <f t="shared" si="15"/>
        <v>8</v>
      </c>
      <c r="U315">
        <f t="shared" si="16"/>
        <v>12600</v>
      </c>
    </row>
    <row r="316" spans="2:21" x14ac:dyDescent="0.25">
      <c r="B316" t="s">
        <v>2</v>
      </c>
      <c r="C316" t="s">
        <v>5</v>
      </c>
      <c r="D316" s="1">
        <v>0.75</v>
      </c>
      <c r="E316">
        <v>6</v>
      </c>
      <c r="F316">
        <v>660</v>
      </c>
      <c r="G316">
        <v>2.7272727272727271</v>
      </c>
      <c r="H316">
        <v>2.2000000000000002</v>
      </c>
      <c r="I316" t="e">
        <v>#NAME?</v>
      </c>
      <c r="J316">
        <v>5</v>
      </c>
      <c r="K316" t="e">
        <v>#NAME?</v>
      </c>
      <c r="L316">
        <v>5</v>
      </c>
      <c r="M316">
        <v>5.5</v>
      </c>
      <c r="N316">
        <v>0.5</v>
      </c>
      <c r="O316">
        <v>0.92872220277786255</v>
      </c>
      <c r="P316">
        <v>1</v>
      </c>
      <c r="Q316">
        <v>0.4</v>
      </c>
      <c r="R316">
        <v>0.2</v>
      </c>
      <c r="S316">
        <f t="shared" si="14"/>
        <v>5.5723332166671753</v>
      </c>
      <c r="T316">
        <f t="shared" si="15"/>
        <v>6</v>
      </c>
      <c r="U316">
        <f t="shared" si="16"/>
        <v>9900</v>
      </c>
    </row>
    <row r="317" spans="2:21" x14ac:dyDescent="0.25">
      <c r="B317" t="s">
        <v>2</v>
      </c>
      <c r="C317" t="s">
        <v>5</v>
      </c>
      <c r="D317" s="1">
        <v>0.77083333333333337</v>
      </c>
      <c r="E317">
        <v>3</v>
      </c>
      <c r="F317">
        <v>660</v>
      </c>
      <c r="G317">
        <v>2.7272727272727271</v>
      </c>
      <c r="H317">
        <v>1.1000000000000001</v>
      </c>
      <c r="I317" t="e">
        <v>#NAME?</v>
      </c>
      <c r="J317">
        <v>3</v>
      </c>
      <c r="K317" t="e">
        <v>#NAME?</v>
      </c>
      <c r="L317">
        <v>3</v>
      </c>
      <c r="M317">
        <v>6</v>
      </c>
      <c r="N317">
        <v>3</v>
      </c>
      <c r="O317">
        <v>0.99913549423217773</v>
      </c>
      <c r="P317">
        <v>1</v>
      </c>
      <c r="Q317">
        <v>0.18333333333333332</v>
      </c>
      <c r="R317">
        <v>0.2</v>
      </c>
      <c r="S317">
        <f t="shared" si="14"/>
        <v>2.9974064826965332</v>
      </c>
      <c r="T317">
        <f t="shared" si="15"/>
        <v>3</v>
      </c>
      <c r="U317">
        <f t="shared" si="16"/>
        <v>10800</v>
      </c>
    </row>
    <row r="318" spans="2:21" x14ac:dyDescent="0.25">
      <c r="B318" t="s">
        <v>2</v>
      </c>
      <c r="C318" t="s">
        <v>5</v>
      </c>
      <c r="D318" s="1">
        <v>0.79166666666666663</v>
      </c>
      <c r="E318">
        <v>1</v>
      </c>
      <c r="F318">
        <v>660</v>
      </c>
      <c r="G318">
        <v>2.7272727272727271</v>
      </c>
      <c r="H318">
        <v>0.3666666666666667</v>
      </c>
      <c r="I318" t="e">
        <v>#NAME?</v>
      </c>
      <c r="J318">
        <v>2</v>
      </c>
      <c r="K318" t="e">
        <v>#NAME?</v>
      </c>
      <c r="L318">
        <v>2</v>
      </c>
      <c r="M318">
        <v>3</v>
      </c>
      <c r="N318">
        <v>1</v>
      </c>
      <c r="O318">
        <v>0.99401199817657471</v>
      </c>
      <c r="P318">
        <v>1</v>
      </c>
      <c r="Q318">
        <v>0.12222222222222222</v>
      </c>
      <c r="R318">
        <v>0.2</v>
      </c>
      <c r="S318">
        <f t="shared" si="14"/>
        <v>0.99401199817657471</v>
      </c>
      <c r="T318">
        <f t="shared" si="15"/>
        <v>1</v>
      </c>
      <c r="U318">
        <f t="shared" si="16"/>
        <v>5400</v>
      </c>
    </row>
    <row r="319" spans="2:21" x14ac:dyDescent="0.25">
      <c r="B319" t="s">
        <v>2</v>
      </c>
      <c r="C319" t="s">
        <v>5</v>
      </c>
      <c r="D319" s="1">
        <v>0.8125</v>
      </c>
      <c r="E319">
        <v>1</v>
      </c>
      <c r="F319">
        <v>660</v>
      </c>
      <c r="G319">
        <v>2.7272727272727271</v>
      </c>
      <c r="H319">
        <v>0.3666666666666667</v>
      </c>
      <c r="I319" t="e">
        <v>#NAME?</v>
      </c>
      <c r="J319">
        <v>2</v>
      </c>
      <c r="K319" t="e">
        <v>#NAME?</v>
      </c>
      <c r="L319">
        <v>2</v>
      </c>
      <c r="M319">
        <v>3</v>
      </c>
      <c r="N319">
        <v>1</v>
      </c>
      <c r="O319">
        <v>0.99401199817657471</v>
      </c>
      <c r="P319">
        <v>1</v>
      </c>
      <c r="Q319">
        <v>0.12222222222222222</v>
      </c>
      <c r="R319">
        <v>0.2</v>
      </c>
      <c r="S319">
        <f t="shared" si="14"/>
        <v>0.99401199817657471</v>
      </c>
      <c r="T319">
        <f t="shared" si="15"/>
        <v>1</v>
      </c>
      <c r="U319">
        <f t="shared" si="16"/>
        <v>5400</v>
      </c>
    </row>
    <row r="320" spans="2:21" x14ac:dyDescent="0.25">
      <c r="B320" t="s">
        <v>2</v>
      </c>
      <c r="C320" t="s">
        <v>5</v>
      </c>
      <c r="D320" s="1">
        <v>0.83333333333333337</v>
      </c>
      <c r="E320">
        <v>1</v>
      </c>
      <c r="F320">
        <v>660</v>
      </c>
      <c r="G320">
        <v>2.7272727272727271</v>
      </c>
      <c r="H320">
        <v>0.3666666666666667</v>
      </c>
      <c r="I320" t="e">
        <v>#NAME?</v>
      </c>
      <c r="J320">
        <v>2</v>
      </c>
      <c r="K320" t="e">
        <v>#NAME?</v>
      </c>
      <c r="L320">
        <v>2</v>
      </c>
      <c r="M320">
        <v>1.5</v>
      </c>
      <c r="N320">
        <v>-0.5</v>
      </c>
      <c r="O320">
        <v>0.68429791927337646</v>
      </c>
      <c r="P320">
        <v>1</v>
      </c>
      <c r="Q320">
        <v>0.24444444444444444</v>
      </c>
      <c r="R320">
        <v>0.2</v>
      </c>
      <c r="S320">
        <f t="shared" si="14"/>
        <v>0.68429791927337646</v>
      </c>
      <c r="T320">
        <f t="shared" si="15"/>
        <v>1</v>
      </c>
      <c r="U320">
        <f t="shared" si="16"/>
        <v>2700</v>
      </c>
    </row>
    <row r="321" spans="2:21" x14ac:dyDescent="0.25">
      <c r="B321" t="s">
        <v>2</v>
      </c>
      <c r="C321" t="s">
        <v>5</v>
      </c>
      <c r="D321" s="1">
        <v>0.85416666666666663</v>
      </c>
      <c r="E321">
        <v>1</v>
      </c>
      <c r="F321">
        <v>660</v>
      </c>
      <c r="G321">
        <v>2.7272727272727271</v>
      </c>
      <c r="H321">
        <v>0.3666666666666667</v>
      </c>
      <c r="I321" t="e">
        <v>#NAME?</v>
      </c>
      <c r="J321">
        <v>2</v>
      </c>
      <c r="K321" t="e">
        <v>#NAME?</v>
      </c>
      <c r="L321">
        <v>2</v>
      </c>
      <c r="M321">
        <v>1.5</v>
      </c>
      <c r="N321">
        <v>-0.5</v>
      </c>
      <c r="O321">
        <v>0.68429791927337646</v>
      </c>
      <c r="P321">
        <v>1</v>
      </c>
      <c r="Q321">
        <v>0.24444444444444444</v>
      </c>
      <c r="R321">
        <v>0.2</v>
      </c>
      <c r="S321">
        <f t="shared" si="14"/>
        <v>0.68429791927337646</v>
      </c>
      <c r="T321">
        <f t="shared" si="15"/>
        <v>1</v>
      </c>
      <c r="U321">
        <f t="shared" si="16"/>
        <v>2700</v>
      </c>
    </row>
    <row r="322" spans="2:21" x14ac:dyDescent="0.25">
      <c r="B322" t="s">
        <v>2</v>
      </c>
      <c r="C322" t="s">
        <v>5</v>
      </c>
      <c r="D322" s="1">
        <v>0.875</v>
      </c>
      <c r="E322">
        <v>1</v>
      </c>
      <c r="F322">
        <v>660</v>
      </c>
      <c r="G322">
        <v>2.7272727272727271</v>
      </c>
      <c r="H322">
        <v>0.3666666666666667</v>
      </c>
      <c r="I322" t="e">
        <v>#NAME?</v>
      </c>
      <c r="J322">
        <v>2</v>
      </c>
      <c r="K322" t="e">
        <v>#NAME?</v>
      </c>
      <c r="L322">
        <v>2</v>
      </c>
      <c r="M322">
        <v>2</v>
      </c>
      <c r="N322">
        <v>0</v>
      </c>
      <c r="O322">
        <v>0.94593572616577148</v>
      </c>
      <c r="P322">
        <v>1</v>
      </c>
      <c r="Q322">
        <v>0.18333333333333332</v>
      </c>
      <c r="R322">
        <v>0.2</v>
      </c>
      <c r="S322">
        <f t="shared" si="14"/>
        <v>0.94593572616577148</v>
      </c>
      <c r="T322">
        <f t="shared" si="15"/>
        <v>1</v>
      </c>
      <c r="U322">
        <f t="shared" si="16"/>
        <v>3600</v>
      </c>
    </row>
    <row r="323" spans="2:21" x14ac:dyDescent="0.25">
      <c r="B323" t="s">
        <v>2</v>
      </c>
      <c r="C323" t="s">
        <v>5</v>
      </c>
      <c r="D323" s="1">
        <v>0.89583333333333337</v>
      </c>
      <c r="E323">
        <v>1</v>
      </c>
      <c r="F323">
        <v>660</v>
      </c>
      <c r="G323">
        <v>2.7272727272727271</v>
      </c>
      <c r="H323">
        <v>0.3666666666666667</v>
      </c>
      <c r="I323" t="e">
        <v>#NAME?</v>
      </c>
      <c r="J323">
        <v>2</v>
      </c>
      <c r="K323" t="e">
        <v>#NAME?</v>
      </c>
      <c r="L323">
        <v>2</v>
      </c>
      <c r="M323">
        <v>2</v>
      </c>
      <c r="N323">
        <v>0</v>
      </c>
      <c r="O323">
        <v>0.94593572616577148</v>
      </c>
      <c r="P323">
        <v>1</v>
      </c>
      <c r="Q323">
        <v>0.18333333333333332</v>
      </c>
      <c r="R323">
        <v>0.2</v>
      </c>
      <c r="S323">
        <f t="shared" si="14"/>
        <v>0.94593572616577148</v>
      </c>
      <c r="T323">
        <f t="shared" si="15"/>
        <v>1</v>
      </c>
      <c r="U323">
        <f t="shared" si="16"/>
        <v>3600</v>
      </c>
    </row>
    <row r="324" spans="2:21" x14ac:dyDescent="0.25">
      <c r="B324" t="s">
        <v>2</v>
      </c>
      <c r="C324" t="s">
        <v>6</v>
      </c>
      <c r="D324" s="1">
        <v>0.25</v>
      </c>
      <c r="E324">
        <v>1</v>
      </c>
      <c r="F324">
        <v>660</v>
      </c>
      <c r="G324">
        <v>2.7272727272727271</v>
      </c>
      <c r="H324">
        <v>0.3666666666666667</v>
      </c>
      <c r="I324" t="e">
        <v>#NAME?</v>
      </c>
      <c r="J324">
        <v>2</v>
      </c>
      <c r="K324" t="e">
        <v>#NAME?</v>
      </c>
      <c r="L324">
        <v>3</v>
      </c>
      <c r="M324">
        <v>2</v>
      </c>
      <c r="N324">
        <v>-1</v>
      </c>
      <c r="O324">
        <v>0.69887697696685791</v>
      </c>
      <c r="P324">
        <v>1</v>
      </c>
      <c r="Q324">
        <v>0.18333333333333332</v>
      </c>
      <c r="R324">
        <v>0.2</v>
      </c>
      <c r="S324">
        <f t="shared" si="14"/>
        <v>0.69887697696685791</v>
      </c>
      <c r="T324">
        <f t="shared" si="15"/>
        <v>1</v>
      </c>
      <c r="U324">
        <f t="shared" si="16"/>
        <v>3600</v>
      </c>
    </row>
    <row r="325" spans="2:21" x14ac:dyDescent="0.25">
      <c r="B325" t="s">
        <v>2</v>
      </c>
      <c r="C325" t="s">
        <v>6</v>
      </c>
      <c r="D325" s="1">
        <v>0.27083333333333331</v>
      </c>
      <c r="E325">
        <v>2</v>
      </c>
      <c r="F325">
        <v>660</v>
      </c>
      <c r="G325">
        <v>2.7272727272727271</v>
      </c>
      <c r="H325">
        <v>0.73333333333333339</v>
      </c>
      <c r="I325" t="e">
        <v>#NAME?</v>
      </c>
      <c r="J325">
        <v>2</v>
      </c>
      <c r="K325" t="e">
        <v>#NAME?</v>
      </c>
      <c r="L325">
        <v>3</v>
      </c>
      <c r="M325">
        <v>2</v>
      </c>
      <c r="N325">
        <v>-1</v>
      </c>
      <c r="O325">
        <v>0.46664392948150635</v>
      </c>
      <c r="P325">
        <v>1</v>
      </c>
      <c r="Q325">
        <v>0.36666666666666664</v>
      </c>
      <c r="R325">
        <v>0.2</v>
      </c>
      <c r="S325">
        <f t="shared" ref="S325:S388" si="17">IFERROR(O325*E325,"")</f>
        <v>0.9332878589630127</v>
      </c>
      <c r="T325">
        <f t="shared" ref="T325:T388" si="18">IFERROR(P325*E325,"")</f>
        <v>2</v>
      </c>
      <c r="U325">
        <f t="shared" si="16"/>
        <v>3600</v>
      </c>
    </row>
    <row r="326" spans="2:21" x14ac:dyDescent="0.25">
      <c r="B326" t="s">
        <v>2</v>
      </c>
      <c r="C326" t="s">
        <v>6</v>
      </c>
      <c r="D326" s="1">
        <v>0.29166666666666669</v>
      </c>
      <c r="E326">
        <v>4</v>
      </c>
      <c r="F326">
        <v>660</v>
      </c>
      <c r="G326">
        <v>2.7272727272727271</v>
      </c>
      <c r="H326">
        <v>1.4666666666666668</v>
      </c>
      <c r="I326" t="e">
        <v>#NAME?</v>
      </c>
      <c r="J326">
        <v>4</v>
      </c>
      <c r="K326" t="e">
        <v>#NAME?</v>
      </c>
      <c r="L326">
        <v>5</v>
      </c>
      <c r="M326">
        <v>5</v>
      </c>
      <c r="N326">
        <v>0</v>
      </c>
      <c r="O326">
        <v>0.94046366214752197</v>
      </c>
      <c r="P326">
        <v>1</v>
      </c>
      <c r="Q326">
        <v>0.29333333333333333</v>
      </c>
      <c r="R326">
        <v>0.2</v>
      </c>
      <c r="S326">
        <f t="shared" si="17"/>
        <v>3.7618546485900879</v>
      </c>
      <c r="T326">
        <f t="shared" si="18"/>
        <v>4</v>
      </c>
      <c r="U326">
        <f t="shared" si="16"/>
        <v>9000</v>
      </c>
    </row>
    <row r="327" spans="2:21" x14ac:dyDescent="0.25">
      <c r="B327" t="s">
        <v>2</v>
      </c>
      <c r="C327" t="s">
        <v>6</v>
      </c>
      <c r="D327" s="1">
        <v>0.3125</v>
      </c>
      <c r="E327">
        <v>6</v>
      </c>
      <c r="F327">
        <v>660</v>
      </c>
      <c r="G327">
        <v>2.7272727272727271</v>
      </c>
      <c r="H327">
        <v>2.2000000000000002</v>
      </c>
      <c r="I327" t="e">
        <v>#NAME?</v>
      </c>
      <c r="J327">
        <v>5</v>
      </c>
      <c r="K327" t="e">
        <v>#NAME?</v>
      </c>
      <c r="L327">
        <v>6</v>
      </c>
      <c r="M327">
        <v>5</v>
      </c>
      <c r="N327">
        <v>-1</v>
      </c>
      <c r="O327">
        <v>0.81044399738311768</v>
      </c>
      <c r="P327">
        <v>1</v>
      </c>
      <c r="Q327">
        <v>0.44</v>
      </c>
      <c r="R327">
        <v>0.2</v>
      </c>
      <c r="S327">
        <f t="shared" si="17"/>
        <v>4.8626639842987061</v>
      </c>
      <c r="T327">
        <f t="shared" si="18"/>
        <v>6</v>
      </c>
      <c r="U327">
        <f t="shared" si="16"/>
        <v>9000</v>
      </c>
    </row>
    <row r="328" spans="2:21" x14ac:dyDescent="0.25">
      <c r="B328" t="s">
        <v>2</v>
      </c>
      <c r="C328" t="s">
        <v>6</v>
      </c>
      <c r="D328" s="1">
        <v>0.33333333333333331</v>
      </c>
      <c r="E328">
        <v>21</v>
      </c>
      <c r="F328">
        <v>660</v>
      </c>
      <c r="G328">
        <v>2.7272727272727271</v>
      </c>
      <c r="H328">
        <v>7.7</v>
      </c>
      <c r="I328" t="e">
        <v>#NAME?</v>
      </c>
      <c r="J328">
        <v>11</v>
      </c>
      <c r="K328" t="e">
        <v>#NAME?</v>
      </c>
      <c r="L328">
        <v>13</v>
      </c>
      <c r="M328">
        <v>13</v>
      </c>
      <c r="N328">
        <v>0</v>
      </c>
      <c r="O328">
        <v>0.8426247239112854</v>
      </c>
      <c r="P328">
        <v>0.96233766233766238</v>
      </c>
      <c r="Q328">
        <v>0.59230769230769231</v>
      </c>
      <c r="R328">
        <v>0.2</v>
      </c>
      <c r="S328">
        <f t="shared" si="17"/>
        <v>17.695119202136993</v>
      </c>
      <c r="T328">
        <f t="shared" si="18"/>
        <v>20.209090909090911</v>
      </c>
      <c r="U328">
        <f t="shared" si="16"/>
        <v>23400</v>
      </c>
    </row>
    <row r="329" spans="2:21" x14ac:dyDescent="0.25">
      <c r="B329" t="s">
        <v>2</v>
      </c>
      <c r="C329" t="s">
        <v>6</v>
      </c>
      <c r="D329" s="1">
        <v>0.35416666666666669</v>
      </c>
      <c r="E329">
        <v>22</v>
      </c>
      <c r="F329">
        <v>660</v>
      </c>
      <c r="G329">
        <v>2.7272727272727271</v>
      </c>
      <c r="H329">
        <v>8.0666666666666664</v>
      </c>
      <c r="I329" t="e">
        <v>#NAME?</v>
      </c>
      <c r="J329">
        <v>12</v>
      </c>
      <c r="K329" t="e">
        <v>#NAME?</v>
      </c>
      <c r="L329">
        <v>14</v>
      </c>
      <c r="M329">
        <v>13.5</v>
      </c>
      <c r="N329">
        <v>-0.5</v>
      </c>
      <c r="O329">
        <v>0.87600988149642944</v>
      </c>
      <c r="P329">
        <v>0.98925619834710732</v>
      </c>
      <c r="Q329">
        <v>0.59753086419753088</v>
      </c>
      <c r="R329">
        <v>0.2</v>
      </c>
      <c r="S329">
        <f t="shared" si="17"/>
        <v>19.272217392921448</v>
      </c>
      <c r="T329">
        <f t="shared" si="18"/>
        <v>21.763636363636362</v>
      </c>
      <c r="U329">
        <f t="shared" si="16"/>
        <v>24300</v>
      </c>
    </row>
    <row r="330" spans="2:21" x14ac:dyDescent="0.25">
      <c r="B330" t="s">
        <v>2</v>
      </c>
      <c r="C330" t="s">
        <v>6</v>
      </c>
      <c r="D330" s="1">
        <v>0.375</v>
      </c>
      <c r="E330">
        <v>18</v>
      </c>
      <c r="F330">
        <v>660</v>
      </c>
      <c r="G330">
        <v>2.7272727272727271</v>
      </c>
      <c r="H330">
        <v>6.6000000000000005</v>
      </c>
      <c r="I330" t="e">
        <v>#NAME?</v>
      </c>
      <c r="J330">
        <v>10</v>
      </c>
      <c r="K330" t="e">
        <v>#NAME?</v>
      </c>
      <c r="L330">
        <v>11</v>
      </c>
      <c r="M330">
        <v>15.5</v>
      </c>
      <c r="N330">
        <v>4.5</v>
      </c>
      <c r="O330">
        <v>0.99305266141891479</v>
      </c>
      <c r="P330">
        <v>0.95000000000000007</v>
      </c>
      <c r="Q330">
        <v>0.4258064516129032</v>
      </c>
      <c r="R330">
        <v>0.2</v>
      </c>
      <c r="S330">
        <f t="shared" si="17"/>
        <v>17.874947905540466</v>
      </c>
      <c r="T330">
        <f t="shared" si="18"/>
        <v>17.100000000000001</v>
      </c>
      <c r="U330">
        <f t="shared" si="16"/>
        <v>27900</v>
      </c>
    </row>
    <row r="331" spans="2:21" x14ac:dyDescent="0.25">
      <c r="B331" t="s">
        <v>2</v>
      </c>
      <c r="C331" t="s">
        <v>6</v>
      </c>
      <c r="D331" s="1">
        <v>0.39583333333333331</v>
      </c>
      <c r="E331">
        <v>17</v>
      </c>
      <c r="F331">
        <v>660</v>
      </c>
      <c r="G331">
        <v>2.7272727272727271</v>
      </c>
      <c r="H331">
        <v>6.2333333333333334</v>
      </c>
      <c r="I331" t="e">
        <v>#NAME?</v>
      </c>
      <c r="J331">
        <v>10</v>
      </c>
      <c r="K331" t="e">
        <v>#NAME?</v>
      </c>
      <c r="L331">
        <v>11</v>
      </c>
      <c r="M331">
        <v>14.5</v>
      </c>
      <c r="N331">
        <v>3.5</v>
      </c>
      <c r="O331">
        <v>0.98963403701782227</v>
      </c>
      <c r="P331">
        <v>1</v>
      </c>
      <c r="Q331">
        <v>0.42988505747126438</v>
      </c>
      <c r="R331">
        <v>0.2</v>
      </c>
      <c r="S331">
        <f t="shared" si="17"/>
        <v>16.823778629302979</v>
      </c>
      <c r="T331">
        <f t="shared" si="18"/>
        <v>17</v>
      </c>
      <c r="U331">
        <f t="shared" si="16"/>
        <v>26100</v>
      </c>
    </row>
    <row r="332" spans="2:21" x14ac:dyDescent="0.25">
      <c r="B332" t="s">
        <v>2</v>
      </c>
      <c r="C332" t="s">
        <v>6</v>
      </c>
      <c r="D332" s="1">
        <v>0.41666666666666669</v>
      </c>
      <c r="E332">
        <v>20</v>
      </c>
      <c r="F332">
        <v>660</v>
      </c>
      <c r="G332">
        <v>2.7272727272727271</v>
      </c>
      <c r="H332">
        <v>7.3333333333333339</v>
      </c>
      <c r="I332" t="e">
        <v>#NAME?</v>
      </c>
      <c r="J332">
        <v>11</v>
      </c>
      <c r="K332" t="e">
        <v>#NAME?</v>
      </c>
      <c r="L332">
        <v>13</v>
      </c>
      <c r="M332">
        <v>18.5</v>
      </c>
      <c r="N332">
        <v>5.5</v>
      </c>
      <c r="O332">
        <v>0.99709808826446533</v>
      </c>
      <c r="P332">
        <v>1</v>
      </c>
      <c r="Q332">
        <v>0.3963963963963964</v>
      </c>
      <c r="R332">
        <v>0.2</v>
      </c>
      <c r="S332">
        <f t="shared" si="17"/>
        <v>19.941961765289307</v>
      </c>
      <c r="T332">
        <f t="shared" si="18"/>
        <v>20</v>
      </c>
      <c r="U332">
        <f t="shared" si="16"/>
        <v>33300</v>
      </c>
    </row>
    <row r="333" spans="2:21" x14ac:dyDescent="0.25">
      <c r="B333" t="s">
        <v>2</v>
      </c>
      <c r="C333" t="s">
        <v>6</v>
      </c>
      <c r="D333" s="1">
        <v>0.4375</v>
      </c>
      <c r="E333">
        <v>22</v>
      </c>
      <c r="F333">
        <v>660</v>
      </c>
      <c r="G333">
        <v>2.7272727272727271</v>
      </c>
      <c r="H333">
        <v>8.0666666666666664</v>
      </c>
      <c r="I333" t="e">
        <v>#NAME?</v>
      </c>
      <c r="J333">
        <v>12</v>
      </c>
      <c r="K333" t="e">
        <v>#NAME?</v>
      </c>
      <c r="L333">
        <v>14</v>
      </c>
      <c r="M333">
        <v>16.5</v>
      </c>
      <c r="N333">
        <v>2.5</v>
      </c>
      <c r="O333">
        <v>0.983295738697052</v>
      </c>
      <c r="P333">
        <v>0.98925619834710732</v>
      </c>
      <c r="Q333">
        <v>0.48888888888888887</v>
      </c>
      <c r="R333">
        <v>0.2</v>
      </c>
      <c r="S333">
        <f t="shared" si="17"/>
        <v>21.632506251335144</v>
      </c>
      <c r="T333">
        <f t="shared" si="18"/>
        <v>21.763636363636362</v>
      </c>
      <c r="U333">
        <f t="shared" si="16"/>
        <v>29700</v>
      </c>
    </row>
    <row r="334" spans="2:21" x14ac:dyDescent="0.25">
      <c r="B334" t="s">
        <v>2</v>
      </c>
      <c r="C334" t="s">
        <v>6</v>
      </c>
      <c r="D334" s="1">
        <v>0.45833333333333331</v>
      </c>
      <c r="E334">
        <v>19</v>
      </c>
      <c r="F334">
        <v>660</v>
      </c>
      <c r="G334">
        <v>2.7272727272727271</v>
      </c>
      <c r="H334">
        <v>6.9666666666666668</v>
      </c>
      <c r="I334" t="e">
        <v>#NAME?</v>
      </c>
      <c r="J334">
        <v>10</v>
      </c>
      <c r="K334" t="e">
        <v>#NAME?</v>
      </c>
      <c r="L334">
        <v>11</v>
      </c>
      <c r="M334">
        <v>18</v>
      </c>
      <c r="N334">
        <v>7</v>
      </c>
      <c r="O334">
        <v>0.99818515777587891</v>
      </c>
      <c r="P334">
        <v>0.9</v>
      </c>
      <c r="Q334">
        <v>0.38703703703703701</v>
      </c>
      <c r="R334">
        <v>0.2</v>
      </c>
      <c r="S334">
        <f t="shared" si="17"/>
        <v>18.965517997741699</v>
      </c>
      <c r="T334">
        <f t="shared" si="18"/>
        <v>17.100000000000001</v>
      </c>
      <c r="U334">
        <f t="shared" si="16"/>
        <v>32400</v>
      </c>
    </row>
    <row r="335" spans="2:21" x14ac:dyDescent="0.25">
      <c r="B335" t="s">
        <v>2</v>
      </c>
      <c r="C335" t="s">
        <v>6</v>
      </c>
      <c r="D335" s="1">
        <v>0.47916666666666669</v>
      </c>
      <c r="E335">
        <v>24</v>
      </c>
      <c r="F335">
        <v>660</v>
      </c>
      <c r="G335">
        <v>2.7272727272727271</v>
      </c>
      <c r="H335">
        <v>8.8000000000000007</v>
      </c>
      <c r="I335" t="e">
        <v>#NAME?</v>
      </c>
      <c r="J335">
        <v>13</v>
      </c>
      <c r="K335" t="e">
        <v>#NAME?</v>
      </c>
      <c r="L335">
        <v>15</v>
      </c>
      <c r="M335">
        <v>18</v>
      </c>
      <c r="N335">
        <v>3</v>
      </c>
      <c r="O335">
        <v>0.98402470350265503</v>
      </c>
      <c r="P335">
        <v>0.97159090909090917</v>
      </c>
      <c r="Q335">
        <v>0.48888888888888887</v>
      </c>
      <c r="R335">
        <v>0.2</v>
      </c>
      <c r="S335">
        <f t="shared" si="17"/>
        <v>23.616592884063721</v>
      </c>
      <c r="T335">
        <f t="shared" si="18"/>
        <v>23.31818181818182</v>
      </c>
      <c r="U335">
        <f t="shared" si="16"/>
        <v>32400</v>
      </c>
    </row>
    <row r="336" spans="2:21" x14ac:dyDescent="0.25">
      <c r="B336" t="s">
        <v>2</v>
      </c>
      <c r="C336" t="s">
        <v>6</v>
      </c>
      <c r="D336" s="1">
        <v>0.5</v>
      </c>
      <c r="E336">
        <v>13</v>
      </c>
      <c r="F336">
        <v>660</v>
      </c>
      <c r="G336">
        <v>2.7272727272727271</v>
      </c>
      <c r="H336">
        <v>4.7666666666666666</v>
      </c>
      <c r="I336" t="e">
        <v>#NAME?</v>
      </c>
      <c r="J336">
        <v>8</v>
      </c>
      <c r="K336" t="e">
        <v>#NAME?</v>
      </c>
      <c r="L336">
        <v>9</v>
      </c>
      <c r="M336">
        <v>11</v>
      </c>
      <c r="N336">
        <v>2</v>
      </c>
      <c r="O336">
        <v>0.9769442081451416</v>
      </c>
      <c r="P336">
        <v>1</v>
      </c>
      <c r="Q336">
        <v>0.43333333333333335</v>
      </c>
      <c r="R336">
        <v>0.2</v>
      </c>
      <c r="S336">
        <f t="shared" si="17"/>
        <v>12.700274705886841</v>
      </c>
      <c r="T336">
        <f t="shared" si="18"/>
        <v>13</v>
      </c>
      <c r="U336">
        <f t="shared" si="16"/>
        <v>19800</v>
      </c>
    </row>
    <row r="337" spans="2:21" x14ac:dyDescent="0.25">
      <c r="B337" t="s">
        <v>2</v>
      </c>
      <c r="C337" t="s">
        <v>6</v>
      </c>
      <c r="D337" s="1">
        <v>0.52083333333333337</v>
      </c>
      <c r="E337">
        <v>11</v>
      </c>
      <c r="F337">
        <v>660</v>
      </c>
      <c r="G337">
        <v>2.7272727272727271</v>
      </c>
      <c r="H337">
        <v>4.0333333333333332</v>
      </c>
      <c r="I337" t="e">
        <v>#NAME?</v>
      </c>
      <c r="J337">
        <v>7</v>
      </c>
      <c r="K337" t="e">
        <v>#NAME?</v>
      </c>
      <c r="L337">
        <v>8</v>
      </c>
      <c r="M337">
        <v>7.5</v>
      </c>
      <c r="N337">
        <v>-0.5</v>
      </c>
      <c r="O337">
        <v>0.77094507217407227</v>
      </c>
      <c r="P337">
        <v>1</v>
      </c>
      <c r="Q337">
        <v>0.5377777777777778</v>
      </c>
      <c r="R337">
        <v>0.2</v>
      </c>
      <c r="S337">
        <f t="shared" si="17"/>
        <v>8.4803957939147949</v>
      </c>
      <c r="T337">
        <f t="shared" si="18"/>
        <v>11</v>
      </c>
      <c r="U337">
        <f t="shared" si="16"/>
        <v>13500</v>
      </c>
    </row>
    <row r="338" spans="2:21" x14ac:dyDescent="0.25">
      <c r="B338" t="s">
        <v>2</v>
      </c>
      <c r="C338" t="s">
        <v>6</v>
      </c>
      <c r="D338" s="1">
        <v>0.54166666666666663</v>
      </c>
      <c r="E338">
        <v>9</v>
      </c>
      <c r="F338">
        <v>660</v>
      </c>
      <c r="G338">
        <v>2.7272727272727271</v>
      </c>
      <c r="H338">
        <v>3.3000000000000003</v>
      </c>
      <c r="I338" t="e">
        <v>#NAME?</v>
      </c>
      <c r="J338">
        <v>6</v>
      </c>
      <c r="K338" t="e">
        <v>#NAME?</v>
      </c>
      <c r="L338">
        <v>7</v>
      </c>
      <c r="M338">
        <v>13</v>
      </c>
      <c r="N338">
        <v>6</v>
      </c>
      <c r="O338">
        <v>0.9994998574256897</v>
      </c>
      <c r="P338">
        <v>1</v>
      </c>
      <c r="Q338">
        <v>0.25384615384615383</v>
      </c>
      <c r="R338">
        <v>0.2</v>
      </c>
      <c r="S338">
        <f t="shared" si="17"/>
        <v>8.9954987168312073</v>
      </c>
      <c r="T338">
        <f t="shared" si="18"/>
        <v>9</v>
      </c>
      <c r="U338">
        <f t="shared" si="16"/>
        <v>23400</v>
      </c>
    </row>
    <row r="339" spans="2:21" x14ac:dyDescent="0.25">
      <c r="B339" t="s">
        <v>2</v>
      </c>
      <c r="C339" t="s">
        <v>6</v>
      </c>
      <c r="D339" s="1">
        <v>0.5625</v>
      </c>
      <c r="E339">
        <v>11</v>
      </c>
      <c r="F339">
        <v>660</v>
      </c>
      <c r="G339">
        <v>2.7272727272727271</v>
      </c>
      <c r="H339">
        <v>4.0333333333333332</v>
      </c>
      <c r="I339" t="e">
        <v>#NAME?</v>
      </c>
      <c r="J339">
        <v>7</v>
      </c>
      <c r="K339" t="e">
        <v>#NAME?</v>
      </c>
      <c r="L339">
        <v>8</v>
      </c>
      <c r="M339">
        <v>15</v>
      </c>
      <c r="N339">
        <v>7</v>
      </c>
      <c r="O339">
        <v>0.99977445602416992</v>
      </c>
      <c r="P339">
        <v>1</v>
      </c>
      <c r="Q339">
        <v>0.2688888888888889</v>
      </c>
      <c r="R339">
        <v>0.2</v>
      </c>
      <c r="S339">
        <f t="shared" si="17"/>
        <v>10.997519016265869</v>
      </c>
      <c r="T339">
        <f t="shared" si="18"/>
        <v>11</v>
      </c>
      <c r="U339">
        <f t="shared" si="16"/>
        <v>27000</v>
      </c>
    </row>
    <row r="340" spans="2:21" x14ac:dyDescent="0.25">
      <c r="B340" t="s">
        <v>2</v>
      </c>
      <c r="C340" t="s">
        <v>6</v>
      </c>
      <c r="D340" s="1">
        <v>0.58333333333333337</v>
      </c>
      <c r="E340">
        <v>15</v>
      </c>
      <c r="F340">
        <v>660</v>
      </c>
      <c r="G340">
        <v>2.7272727272727271</v>
      </c>
      <c r="H340">
        <v>5.5</v>
      </c>
      <c r="I340" t="e">
        <v>#NAME?</v>
      </c>
      <c r="J340">
        <v>9</v>
      </c>
      <c r="K340" t="e">
        <v>#NAME?</v>
      </c>
      <c r="L340">
        <v>10</v>
      </c>
      <c r="M340">
        <v>14</v>
      </c>
      <c r="N340">
        <v>4</v>
      </c>
      <c r="O340">
        <v>0.99076747894287109</v>
      </c>
      <c r="P340">
        <v>1</v>
      </c>
      <c r="Q340">
        <v>0.39285714285714285</v>
      </c>
      <c r="R340">
        <v>0.2</v>
      </c>
      <c r="S340">
        <f t="shared" si="17"/>
        <v>14.861512184143066</v>
      </c>
      <c r="T340">
        <f t="shared" si="18"/>
        <v>15</v>
      </c>
      <c r="U340">
        <f t="shared" si="16"/>
        <v>25200</v>
      </c>
    </row>
    <row r="341" spans="2:21" x14ac:dyDescent="0.25">
      <c r="B341" t="s">
        <v>2</v>
      </c>
      <c r="C341" t="s">
        <v>6</v>
      </c>
      <c r="D341" s="1">
        <v>0.60416666666666663</v>
      </c>
      <c r="E341">
        <v>18</v>
      </c>
      <c r="F341">
        <v>660</v>
      </c>
      <c r="G341">
        <v>2.7272727272727271</v>
      </c>
      <c r="H341">
        <v>6.6000000000000005</v>
      </c>
      <c r="I341" t="e">
        <v>#NAME?</v>
      </c>
      <c r="J341">
        <v>10</v>
      </c>
      <c r="K341" t="e">
        <v>#NAME?</v>
      </c>
      <c r="L341">
        <v>11</v>
      </c>
      <c r="M341">
        <v>14.5</v>
      </c>
      <c r="N341">
        <v>3.5</v>
      </c>
      <c r="O341">
        <v>0.98389136791229248</v>
      </c>
      <c r="P341">
        <v>0.95000000000000007</v>
      </c>
      <c r="Q341">
        <v>0.45517241379310347</v>
      </c>
      <c r="R341">
        <v>0.2</v>
      </c>
      <c r="S341">
        <f t="shared" si="17"/>
        <v>17.710044622421265</v>
      </c>
      <c r="T341">
        <f t="shared" si="18"/>
        <v>17.100000000000001</v>
      </c>
      <c r="U341">
        <f t="shared" si="16"/>
        <v>26100</v>
      </c>
    </row>
    <row r="342" spans="2:21" x14ac:dyDescent="0.25">
      <c r="B342" t="s">
        <v>2</v>
      </c>
      <c r="C342" t="s">
        <v>6</v>
      </c>
      <c r="D342" s="1">
        <v>0.625</v>
      </c>
      <c r="E342">
        <v>18</v>
      </c>
      <c r="F342">
        <v>660</v>
      </c>
      <c r="G342">
        <v>2.7272727272727271</v>
      </c>
      <c r="H342">
        <v>6.6000000000000005</v>
      </c>
      <c r="I342" t="e">
        <v>#NAME?</v>
      </c>
      <c r="J342">
        <v>10</v>
      </c>
      <c r="K342" t="e">
        <v>#NAME?</v>
      </c>
      <c r="L342">
        <v>11</v>
      </c>
      <c r="M342">
        <v>17.5</v>
      </c>
      <c r="N342">
        <v>6.5</v>
      </c>
      <c r="O342">
        <v>0.99736982583999634</v>
      </c>
      <c r="P342">
        <v>0.95000000000000007</v>
      </c>
      <c r="Q342">
        <v>0.37714285714285717</v>
      </c>
      <c r="R342">
        <v>0.2</v>
      </c>
      <c r="S342">
        <f t="shared" si="17"/>
        <v>17.952656865119934</v>
      </c>
      <c r="T342">
        <f t="shared" si="18"/>
        <v>17.100000000000001</v>
      </c>
      <c r="U342">
        <f t="shared" si="16"/>
        <v>31500</v>
      </c>
    </row>
    <row r="343" spans="2:21" x14ac:dyDescent="0.25">
      <c r="B343" t="s">
        <v>2</v>
      </c>
      <c r="C343" t="s">
        <v>6</v>
      </c>
      <c r="D343" s="1">
        <v>0.64583333333333337</v>
      </c>
      <c r="E343">
        <v>16</v>
      </c>
      <c r="F343">
        <v>660</v>
      </c>
      <c r="G343">
        <v>2.7272727272727271</v>
      </c>
      <c r="H343">
        <v>5.8666666666666671</v>
      </c>
      <c r="I343" t="e">
        <v>#NAME?</v>
      </c>
      <c r="J343">
        <v>9</v>
      </c>
      <c r="K343" t="e">
        <v>#NAME?</v>
      </c>
      <c r="L343">
        <v>10</v>
      </c>
      <c r="M343">
        <v>19</v>
      </c>
      <c r="N343">
        <v>9</v>
      </c>
      <c r="O343">
        <v>0.99990153312683105</v>
      </c>
      <c r="P343">
        <v>0.97159090909090928</v>
      </c>
      <c r="Q343">
        <v>0.30877192982456142</v>
      </c>
      <c r="R343">
        <v>0.2</v>
      </c>
      <c r="S343">
        <f t="shared" si="17"/>
        <v>15.998424530029297</v>
      </c>
      <c r="T343">
        <f t="shared" si="18"/>
        <v>15.545454545454549</v>
      </c>
      <c r="U343">
        <f t="shared" si="16"/>
        <v>34200</v>
      </c>
    </row>
    <row r="344" spans="2:21" x14ac:dyDescent="0.25">
      <c r="B344" t="s">
        <v>2</v>
      </c>
      <c r="C344" t="s">
        <v>6</v>
      </c>
      <c r="D344" s="1">
        <v>0.66666666666666663</v>
      </c>
      <c r="E344">
        <v>16</v>
      </c>
      <c r="F344">
        <v>660</v>
      </c>
      <c r="G344">
        <v>2.7272727272727271</v>
      </c>
      <c r="H344">
        <v>5.8666666666666671</v>
      </c>
      <c r="I344" t="e">
        <v>#NAME?</v>
      </c>
      <c r="J344">
        <v>9</v>
      </c>
      <c r="K344" t="e">
        <v>#NAME?</v>
      </c>
      <c r="L344">
        <v>10</v>
      </c>
      <c r="M344">
        <v>16</v>
      </c>
      <c r="N344">
        <v>6</v>
      </c>
      <c r="O344">
        <v>0.99760818481445313</v>
      </c>
      <c r="P344">
        <v>0.97159090909090928</v>
      </c>
      <c r="Q344">
        <v>0.36666666666666664</v>
      </c>
      <c r="R344">
        <v>0.2</v>
      </c>
      <c r="S344">
        <f t="shared" si="17"/>
        <v>15.96173095703125</v>
      </c>
      <c r="T344">
        <f t="shared" si="18"/>
        <v>15.545454545454549</v>
      </c>
      <c r="U344">
        <f t="shared" si="16"/>
        <v>28800</v>
      </c>
    </row>
    <row r="345" spans="2:21" x14ac:dyDescent="0.25">
      <c r="B345" t="s">
        <v>2</v>
      </c>
      <c r="C345" t="s">
        <v>6</v>
      </c>
      <c r="D345" s="1">
        <v>0.6875</v>
      </c>
      <c r="E345">
        <v>14</v>
      </c>
      <c r="F345">
        <v>660</v>
      </c>
      <c r="G345">
        <v>2.7272727272727271</v>
      </c>
      <c r="H345">
        <v>5.1333333333333337</v>
      </c>
      <c r="I345" t="e">
        <v>#NAME?</v>
      </c>
      <c r="J345">
        <v>8</v>
      </c>
      <c r="K345" t="e">
        <v>#NAME?</v>
      </c>
      <c r="L345">
        <v>9</v>
      </c>
      <c r="M345">
        <v>17</v>
      </c>
      <c r="N345">
        <v>8</v>
      </c>
      <c r="O345">
        <v>0.99977654218673706</v>
      </c>
      <c r="P345">
        <v>0.99935064935064954</v>
      </c>
      <c r="Q345">
        <v>0.30196078431372547</v>
      </c>
      <c r="R345">
        <v>0.2</v>
      </c>
      <c r="S345">
        <f t="shared" si="17"/>
        <v>13.996871590614319</v>
      </c>
      <c r="T345">
        <f t="shared" si="18"/>
        <v>13.990909090909094</v>
      </c>
      <c r="U345">
        <f t="shared" si="16"/>
        <v>30600</v>
      </c>
    </row>
    <row r="346" spans="2:21" x14ac:dyDescent="0.25">
      <c r="B346" t="s">
        <v>2</v>
      </c>
      <c r="C346" t="s">
        <v>6</v>
      </c>
      <c r="D346" s="1">
        <v>0.70833333333333337</v>
      </c>
      <c r="E346">
        <v>9</v>
      </c>
      <c r="F346">
        <v>660</v>
      </c>
      <c r="G346">
        <v>2.7272727272727271</v>
      </c>
      <c r="H346">
        <v>3.3000000000000003</v>
      </c>
      <c r="I346" t="e">
        <v>#NAME?</v>
      </c>
      <c r="J346">
        <v>6</v>
      </c>
      <c r="K346" t="e">
        <v>#NAME?</v>
      </c>
      <c r="L346">
        <v>7</v>
      </c>
      <c r="M346">
        <v>7.5</v>
      </c>
      <c r="N346">
        <v>0.5</v>
      </c>
      <c r="O346">
        <v>0.88613390922546387</v>
      </c>
      <c r="P346">
        <v>1</v>
      </c>
      <c r="Q346">
        <v>0.44</v>
      </c>
      <c r="R346">
        <v>0.2</v>
      </c>
      <c r="S346">
        <f t="shared" si="17"/>
        <v>7.9752051830291748</v>
      </c>
      <c r="T346">
        <f t="shared" si="18"/>
        <v>9</v>
      </c>
      <c r="U346">
        <f t="shared" si="16"/>
        <v>13500</v>
      </c>
    </row>
    <row r="347" spans="2:21" x14ac:dyDescent="0.25">
      <c r="B347" t="s">
        <v>2</v>
      </c>
      <c r="C347" t="s">
        <v>6</v>
      </c>
      <c r="D347" s="1">
        <v>0.72916666666666663</v>
      </c>
      <c r="E347">
        <v>8</v>
      </c>
      <c r="F347">
        <v>660</v>
      </c>
      <c r="G347">
        <v>2.7272727272727271</v>
      </c>
      <c r="H347">
        <v>2.9333333333333336</v>
      </c>
      <c r="I347" t="e">
        <v>#NAME?</v>
      </c>
      <c r="J347">
        <v>6</v>
      </c>
      <c r="K347" t="e">
        <v>#NAME?</v>
      </c>
      <c r="L347">
        <v>7</v>
      </c>
      <c r="M347">
        <v>7</v>
      </c>
      <c r="N347">
        <v>0</v>
      </c>
      <c r="O347">
        <v>0.9221268892288208</v>
      </c>
      <c r="P347">
        <v>1</v>
      </c>
      <c r="Q347">
        <v>0.41904761904761906</v>
      </c>
      <c r="R347">
        <v>0.2</v>
      </c>
      <c r="S347">
        <f t="shared" si="17"/>
        <v>7.3770151138305664</v>
      </c>
      <c r="T347">
        <f t="shared" si="18"/>
        <v>8</v>
      </c>
      <c r="U347">
        <f t="shared" si="16"/>
        <v>12600</v>
      </c>
    </row>
    <row r="348" spans="2:21" x14ac:dyDescent="0.25">
      <c r="B348" t="s">
        <v>2</v>
      </c>
      <c r="C348" t="s">
        <v>6</v>
      </c>
      <c r="D348" s="1">
        <v>0.75</v>
      </c>
      <c r="E348">
        <v>6</v>
      </c>
      <c r="F348">
        <v>660</v>
      </c>
      <c r="G348">
        <v>2.7272727272727271</v>
      </c>
      <c r="H348">
        <v>2.2000000000000002</v>
      </c>
      <c r="I348" t="e">
        <v>#NAME?</v>
      </c>
      <c r="J348">
        <v>5</v>
      </c>
      <c r="K348" t="e">
        <v>#NAME?</v>
      </c>
      <c r="L348">
        <v>6</v>
      </c>
      <c r="M348">
        <v>5.5</v>
      </c>
      <c r="N348">
        <v>-0.5</v>
      </c>
      <c r="O348">
        <v>0.92296594381332397</v>
      </c>
      <c r="P348">
        <v>1</v>
      </c>
      <c r="Q348">
        <v>0.4</v>
      </c>
      <c r="R348">
        <v>0.2</v>
      </c>
      <c r="S348">
        <f t="shared" si="17"/>
        <v>5.5377956628799438</v>
      </c>
      <c r="T348">
        <f t="shared" si="18"/>
        <v>6</v>
      </c>
      <c r="U348">
        <f t="shared" si="16"/>
        <v>9900</v>
      </c>
    </row>
    <row r="349" spans="2:21" x14ac:dyDescent="0.25">
      <c r="B349" t="s">
        <v>2</v>
      </c>
      <c r="C349" t="s">
        <v>6</v>
      </c>
      <c r="D349" s="1">
        <v>0.77083333333333337</v>
      </c>
      <c r="E349">
        <v>3</v>
      </c>
      <c r="F349">
        <v>660</v>
      </c>
      <c r="G349">
        <v>2.7272727272727271</v>
      </c>
      <c r="H349">
        <v>1.1000000000000001</v>
      </c>
      <c r="I349" t="e">
        <v>#NAME?</v>
      </c>
      <c r="J349">
        <v>3</v>
      </c>
      <c r="K349" t="e">
        <v>#NAME?</v>
      </c>
      <c r="L349">
        <v>4</v>
      </c>
      <c r="M349">
        <v>6</v>
      </c>
      <c r="N349">
        <v>2</v>
      </c>
      <c r="O349">
        <v>0.99509865045547485</v>
      </c>
      <c r="P349">
        <v>1</v>
      </c>
      <c r="Q349">
        <v>0.18333333333333332</v>
      </c>
      <c r="R349">
        <v>0.2</v>
      </c>
      <c r="S349">
        <f t="shared" si="17"/>
        <v>2.9852959513664246</v>
      </c>
      <c r="T349">
        <f t="shared" si="18"/>
        <v>3</v>
      </c>
      <c r="U349">
        <f t="shared" si="16"/>
        <v>10800</v>
      </c>
    </row>
    <row r="350" spans="2:21" x14ac:dyDescent="0.25">
      <c r="B350" t="s">
        <v>2</v>
      </c>
      <c r="C350" t="s">
        <v>6</v>
      </c>
      <c r="D350" s="1">
        <v>0.79166666666666663</v>
      </c>
      <c r="E350">
        <v>2</v>
      </c>
      <c r="F350">
        <v>660</v>
      </c>
      <c r="G350">
        <v>2.7272727272727271</v>
      </c>
      <c r="H350">
        <v>0.73333333333333339</v>
      </c>
      <c r="I350" t="e">
        <v>#NAME?</v>
      </c>
      <c r="J350">
        <v>2</v>
      </c>
      <c r="K350" t="e">
        <v>#NAME?</v>
      </c>
      <c r="L350">
        <v>3</v>
      </c>
      <c r="M350">
        <v>3</v>
      </c>
      <c r="N350">
        <v>0</v>
      </c>
      <c r="O350">
        <v>0.83528578281402588</v>
      </c>
      <c r="P350">
        <v>1</v>
      </c>
      <c r="Q350">
        <v>0.24444444444444444</v>
      </c>
      <c r="R350">
        <v>0.2</v>
      </c>
      <c r="S350">
        <f t="shared" si="17"/>
        <v>1.6705715656280518</v>
      </c>
      <c r="T350">
        <f t="shared" si="18"/>
        <v>2</v>
      </c>
      <c r="U350">
        <f t="shared" si="16"/>
        <v>5400</v>
      </c>
    </row>
    <row r="351" spans="2:21" x14ac:dyDescent="0.25">
      <c r="B351" t="s">
        <v>2</v>
      </c>
      <c r="C351" t="s">
        <v>6</v>
      </c>
      <c r="D351" s="1">
        <v>0.8125</v>
      </c>
      <c r="E351">
        <v>0</v>
      </c>
      <c r="F351">
        <v>0</v>
      </c>
      <c r="G351">
        <v>2.7272727272727271</v>
      </c>
      <c r="H351">
        <v>0</v>
      </c>
      <c r="I351" t="e">
        <v>#NAME?</v>
      </c>
      <c r="J351">
        <v>1</v>
      </c>
      <c r="K351" t="e">
        <v>#NAME?</v>
      </c>
      <c r="L351">
        <v>2</v>
      </c>
      <c r="M351">
        <v>3</v>
      </c>
      <c r="N351">
        <v>1</v>
      </c>
      <c r="O351" t="s">
        <v>72</v>
      </c>
      <c r="P351" t="s">
        <v>72</v>
      </c>
      <c r="Q351">
        <v>0</v>
      </c>
      <c r="R351">
        <v>0.2</v>
      </c>
      <c r="S351" t="str">
        <f t="shared" si="17"/>
        <v/>
      </c>
      <c r="T351" t="str">
        <f t="shared" si="18"/>
        <v/>
      </c>
      <c r="U351">
        <f t="shared" si="16"/>
        <v>5400</v>
      </c>
    </row>
    <row r="352" spans="2:21" x14ac:dyDescent="0.25">
      <c r="B352" t="s">
        <v>2</v>
      </c>
      <c r="C352" t="s">
        <v>6</v>
      </c>
      <c r="D352" s="1">
        <v>0.83333333333333337</v>
      </c>
      <c r="E352">
        <v>1</v>
      </c>
      <c r="F352">
        <v>660</v>
      </c>
      <c r="G352">
        <v>2.7272727272727271</v>
      </c>
      <c r="H352">
        <v>0.3666666666666667</v>
      </c>
      <c r="I352" t="e">
        <v>#NAME?</v>
      </c>
      <c r="J352">
        <v>2</v>
      </c>
      <c r="K352" t="e">
        <v>#NAME?</v>
      </c>
      <c r="L352">
        <v>3</v>
      </c>
      <c r="M352">
        <v>1.5</v>
      </c>
      <c r="N352">
        <v>-1.5</v>
      </c>
      <c r="O352">
        <v>0.67602443695068359</v>
      </c>
      <c r="P352">
        <v>1</v>
      </c>
      <c r="Q352">
        <v>0.24444444444444444</v>
      </c>
      <c r="R352">
        <v>0.2</v>
      </c>
      <c r="S352">
        <f t="shared" si="17"/>
        <v>0.67602443695068359</v>
      </c>
      <c r="T352">
        <f t="shared" si="18"/>
        <v>1</v>
      </c>
      <c r="U352">
        <f t="shared" si="16"/>
        <v>2700</v>
      </c>
    </row>
    <row r="353" spans="2:21" x14ac:dyDescent="0.25">
      <c r="B353" t="s">
        <v>2</v>
      </c>
      <c r="C353" t="s">
        <v>6</v>
      </c>
      <c r="D353" s="1">
        <v>0.85416666666666663</v>
      </c>
      <c r="E353">
        <v>1</v>
      </c>
      <c r="F353">
        <v>660</v>
      </c>
      <c r="G353">
        <v>2.7272727272727271</v>
      </c>
      <c r="H353">
        <v>0.3666666666666667</v>
      </c>
      <c r="I353" t="e">
        <v>#NAME?</v>
      </c>
      <c r="J353">
        <v>2</v>
      </c>
      <c r="K353" t="e">
        <v>#NAME?</v>
      </c>
      <c r="L353">
        <v>3</v>
      </c>
      <c r="M353">
        <v>1.5</v>
      </c>
      <c r="N353">
        <v>-1.5</v>
      </c>
      <c r="O353">
        <v>0.67602443695068359</v>
      </c>
      <c r="P353">
        <v>1</v>
      </c>
      <c r="Q353">
        <v>0.24444444444444444</v>
      </c>
      <c r="R353">
        <v>0.2</v>
      </c>
      <c r="S353">
        <f t="shared" si="17"/>
        <v>0.67602443695068359</v>
      </c>
      <c r="T353">
        <f t="shared" si="18"/>
        <v>1</v>
      </c>
      <c r="U353">
        <f t="shared" si="16"/>
        <v>2700</v>
      </c>
    </row>
    <row r="354" spans="2:21" x14ac:dyDescent="0.25">
      <c r="B354" t="s">
        <v>2</v>
      </c>
      <c r="C354" t="s">
        <v>6</v>
      </c>
      <c r="D354" s="1">
        <v>0.875</v>
      </c>
      <c r="E354">
        <v>1</v>
      </c>
      <c r="F354">
        <v>660</v>
      </c>
      <c r="G354">
        <v>2.7272727272727271</v>
      </c>
      <c r="H354">
        <v>0.3666666666666667</v>
      </c>
      <c r="I354" t="e">
        <v>#NAME?</v>
      </c>
      <c r="J354">
        <v>2</v>
      </c>
      <c r="K354" t="e">
        <v>#NAME?</v>
      </c>
      <c r="L354">
        <v>3</v>
      </c>
      <c r="M354">
        <v>2</v>
      </c>
      <c r="N354">
        <v>-1</v>
      </c>
      <c r="O354">
        <v>0.69887697696685791</v>
      </c>
      <c r="P354">
        <v>1</v>
      </c>
      <c r="Q354">
        <v>0.18333333333333332</v>
      </c>
      <c r="R354">
        <v>0.2</v>
      </c>
      <c r="S354">
        <f t="shared" si="17"/>
        <v>0.69887697696685791</v>
      </c>
      <c r="T354">
        <f t="shared" si="18"/>
        <v>1</v>
      </c>
      <c r="U354">
        <f t="shared" si="16"/>
        <v>3600</v>
      </c>
    </row>
    <row r="355" spans="2:21" x14ac:dyDescent="0.25">
      <c r="B355" t="s">
        <v>2</v>
      </c>
      <c r="C355" t="s">
        <v>6</v>
      </c>
      <c r="D355" s="1">
        <v>0.89583333333333337</v>
      </c>
      <c r="E355">
        <v>1</v>
      </c>
      <c r="F355">
        <v>660</v>
      </c>
      <c r="G355">
        <v>2.7272727272727271</v>
      </c>
      <c r="H355">
        <v>0.3666666666666667</v>
      </c>
      <c r="I355" t="e">
        <v>#NAME?</v>
      </c>
      <c r="J355">
        <v>2</v>
      </c>
      <c r="K355" t="e">
        <v>#NAME?</v>
      </c>
      <c r="L355">
        <v>3</v>
      </c>
      <c r="M355">
        <v>2</v>
      </c>
      <c r="N355">
        <v>-1</v>
      </c>
      <c r="O355">
        <v>0.69887697696685791</v>
      </c>
      <c r="P355">
        <v>1</v>
      </c>
      <c r="Q355">
        <v>0.18333333333333332</v>
      </c>
      <c r="R355">
        <v>0.2</v>
      </c>
      <c r="S355">
        <f t="shared" si="17"/>
        <v>0.69887697696685791</v>
      </c>
      <c r="T355">
        <f t="shared" si="18"/>
        <v>1</v>
      </c>
      <c r="U355">
        <f t="shared" si="16"/>
        <v>3600</v>
      </c>
    </row>
    <row r="356" spans="2:21" x14ac:dyDescent="0.25">
      <c r="B356" t="s">
        <v>2</v>
      </c>
      <c r="C356" t="s">
        <v>7</v>
      </c>
      <c r="D356" s="1">
        <v>0.25</v>
      </c>
      <c r="E356">
        <v>1</v>
      </c>
      <c r="F356">
        <v>740</v>
      </c>
      <c r="G356">
        <v>2.4324324324324325</v>
      </c>
      <c r="H356">
        <v>0.41111111111111109</v>
      </c>
      <c r="I356" t="e">
        <v>#NAME?</v>
      </c>
      <c r="J356">
        <v>2</v>
      </c>
      <c r="K356" t="e">
        <v>#NAME?</v>
      </c>
      <c r="L356">
        <v>3</v>
      </c>
      <c r="M356">
        <v>2</v>
      </c>
      <c r="N356">
        <v>-1</v>
      </c>
      <c r="O356">
        <v>0.66520696878433228</v>
      </c>
      <c r="P356">
        <v>1</v>
      </c>
      <c r="Q356">
        <v>0.20555555555555555</v>
      </c>
      <c r="R356">
        <v>0.1</v>
      </c>
      <c r="S356">
        <f t="shared" si="17"/>
        <v>0.66520696878433228</v>
      </c>
      <c r="T356">
        <f t="shared" si="18"/>
        <v>1</v>
      </c>
      <c r="U356">
        <f t="shared" si="16"/>
        <v>3600</v>
      </c>
    </row>
    <row r="357" spans="2:21" x14ac:dyDescent="0.25">
      <c r="B357" t="s">
        <v>2</v>
      </c>
      <c r="C357" t="s">
        <v>7</v>
      </c>
      <c r="D357" s="1">
        <v>0.27083333333333331</v>
      </c>
      <c r="E357">
        <v>0</v>
      </c>
      <c r="F357">
        <v>0</v>
      </c>
      <c r="G357">
        <v>2.4324324324324325</v>
      </c>
      <c r="H357">
        <v>0</v>
      </c>
      <c r="I357" t="e">
        <v>#NAME?</v>
      </c>
      <c r="J357">
        <v>1</v>
      </c>
      <c r="K357" t="e">
        <v>#NAME?</v>
      </c>
      <c r="L357">
        <v>2</v>
      </c>
      <c r="M357">
        <v>2</v>
      </c>
      <c r="N357">
        <v>0</v>
      </c>
      <c r="O357" t="s">
        <v>72</v>
      </c>
      <c r="P357" t="s">
        <v>72</v>
      </c>
      <c r="Q357">
        <v>0</v>
      </c>
      <c r="R357">
        <v>0.1</v>
      </c>
      <c r="S357" t="str">
        <f t="shared" si="17"/>
        <v/>
      </c>
      <c r="T357" t="str">
        <f t="shared" si="18"/>
        <v/>
      </c>
      <c r="U357">
        <f t="shared" ref="U357:U420" si="19">+M357*1800</f>
        <v>3600</v>
      </c>
    </row>
    <row r="358" spans="2:21" x14ac:dyDescent="0.25">
      <c r="B358" t="s">
        <v>2</v>
      </c>
      <c r="C358" t="s">
        <v>7</v>
      </c>
      <c r="D358" s="1">
        <v>0.29166666666666669</v>
      </c>
      <c r="E358">
        <v>3</v>
      </c>
      <c r="F358">
        <v>740</v>
      </c>
      <c r="G358">
        <v>2.4324324324324325</v>
      </c>
      <c r="H358">
        <v>1.2333333333333334</v>
      </c>
      <c r="I358" t="e">
        <v>#NAME?</v>
      </c>
      <c r="J358">
        <v>3</v>
      </c>
      <c r="K358" t="e">
        <v>#NAME?</v>
      </c>
      <c r="L358">
        <v>4</v>
      </c>
      <c r="M358">
        <v>5</v>
      </c>
      <c r="N358">
        <v>1</v>
      </c>
      <c r="O358">
        <v>0.96464943885803223</v>
      </c>
      <c r="P358">
        <v>1</v>
      </c>
      <c r="Q358">
        <v>0.24666666666666667</v>
      </c>
      <c r="R358">
        <v>0.1</v>
      </c>
      <c r="S358">
        <f t="shared" si="17"/>
        <v>2.8939483165740967</v>
      </c>
      <c r="T358">
        <f t="shared" si="18"/>
        <v>3</v>
      </c>
      <c r="U358">
        <f t="shared" si="19"/>
        <v>9000</v>
      </c>
    </row>
    <row r="359" spans="2:21" x14ac:dyDescent="0.25">
      <c r="B359" t="s">
        <v>2</v>
      </c>
      <c r="C359" t="s">
        <v>7</v>
      </c>
      <c r="D359" s="1">
        <v>0.3125</v>
      </c>
      <c r="E359">
        <v>6</v>
      </c>
      <c r="F359">
        <v>740</v>
      </c>
      <c r="G359">
        <v>2.4324324324324325</v>
      </c>
      <c r="H359">
        <v>2.4666666666666668</v>
      </c>
      <c r="I359" t="e">
        <v>#NAME?</v>
      </c>
      <c r="J359">
        <v>5</v>
      </c>
      <c r="K359" t="e">
        <v>#NAME?</v>
      </c>
      <c r="L359">
        <v>6</v>
      </c>
      <c r="M359">
        <v>5</v>
      </c>
      <c r="N359">
        <v>-1</v>
      </c>
      <c r="O359">
        <v>0.7399212121963501</v>
      </c>
      <c r="P359">
        <v>1</v>
      </c>
      <c r="Q359">
        <v>0.49333333333333335</v>
      </c>
      <c r="R359">
        <v>0.1</v>
      </c>
      <c r="S359">
        <f t="shared" si="17"/>
        <v>4.4395272731781006</v>
      </c>
      <c r="T359">
        <f t="shared" si="18"/>
        <v>6</v>
      </c>
      <c r="U359">
        <f t="shared" si="19"/>
        <v>9000</v>
      </c>
    </row>
    <row r="360" spans="2:21" x14ac:dyDescent="0.25">
      <c r="B360" t="s">
        <v>2</v>
      </c>
      <c r="C360" t="s">
        <v>7</v>
      </c>
      <c r="D360" s="1">
        <v>0.33333333333333331</v>
      </c>
      <c r="E360">
        <v>16</v>
      </c>
      <c r="F360">
        <v>740</v>
      </c>
      <c r="G360">
        <v>2.4324324324324325</v>
      </c>
      <c r="H360">
        <v>6.5777777777777775</v>
      </c>
      <c r="I360" t="e">
        <v>#NAME?</v>
      </c>
      <c r="J360">
        <v>10</v>
      </c>
      <c r="K360" t="e">
        <v>#NAME?</v>
      </c>
      <c r="L360">
        <v>12</v>
      </c>
      <c r="M360">
        <v>13</v>
      </c>
      <c r="N360">
        <v>1</v>
      </c>
      <c r="O360">
        <v>0.93143296241760254</v>
      </c>
      <c r="P360">
        <v>0.96689189189189184</v>
      </c>
      <c r="Q360">
        <v>0.50598290598290596</v>
      </c>
      <c r="R360">
        <v>0.1</v>
      </c>
      <c r="S360">
        <f t="shared" si="17"/>
        <v>14.902927398681641</v>
      </c>
      <c r="T360">
        <f t="shared" si="18"/>
        <v>15.470270270270269</v>
      </c>
      <c r="U360">
        <f t="shared" si="19"/>
        <v>23400</v>
      </c>
    </row>
    <row r="361" spans="2:21" x14ac:dyDescent="0.25">
      <c r="B361" t="s">
        <v>2</v>
      </c>
      <c r="C361" t="s">
        <v>7</v>
      </c>
      <c r="D361" s="1">
        <v>0.35416666666666669</v>
      </c>
      <c r="E361">
        <v>12</v>
      </c>
      <c r="F361">
        <v>740</v>
      </c>
      <c r="G361">
        <v>2.4324324324324325</v>
      </c>
      <c r="H361">
        <v>4.9333333333333336</v>
      </c>
      <c r="I361" t="e">
        <v>#NAME?</v>
      </c>
      <c r="J361">
        <v>8</v>
      </c>
      <c r="K361" t="e">
        <v>#NAME?</v>
      </c>
      <c r="L361">
        <v>9</v>
      </c>
      <c r="M361">
        <v>13.5</v>
      </c>
      <c r="N361">
        <v>4.5</v>
      </c>
      <c r="O361">
        <v>0.99567270278930664</v>
      </c>
      <c r="P361">
        <v>0.96689189189189184</v>
      </c>
      <c r="Q361">
        <v>0.36543209876543209</v>
      </c>
      <c r="R361">
        <v>0.1</v>
      </c>
      <c r="S361">
        <f t="shared" si="17"/>
        <v>11.94807243347168</v>
      </c>
      <c r="T361">
        <f t="shared" si="18"/>
        <v>11.602702702702702</v>
      </c>
      <c r="U361">
        <f t="shared" si="19"/>
        <v>24300</v>
      </c>
    </row>
    <row r="362" spans="2:21" x14ac:dyDescent="0.25">
      <c r="B362" t="s">
        <v>2</v>
      </c>
      <c r="C362" t="s">
        <v>7</v>
      </c>
      <c r="D362" s="1">
        <v>0.375</v>
      </c>
      <c r="E362">
        <v>12</v>
      </c>
      <c r="F362">
        <v>740</v>
      </c>
      <c r="G362">
        <v>2.4324324324324325</v>
      </c>
      <c r="H362">
        <v>4.9333333333333336</v>
      </c>
      <c r="I362" t="e">
        <v>#NAME?</v>
      </c>
      <c r="J362">
        <v>8</v>
      </c>
      <c r="K362" t="e">
        <v>#NAME?</v>
      </c>
      <c r="L362">
        <v>9</v>
      </c>
      <c r="M362">
        <v>15.5</v>
      </c>
      <c r="N362">
        <v>6.5</v>
      </c>
      <c r="O362">
        <v>0.99856215715408325</v>
      </c>
      <c r="P362">
        <v>0.96689189189189184</v>
      </c>
      <c r="Q362">
        <v>0.31827956989247314</v>
      </c>
      <c r="R362">
        <v>0.1</v>
      </c>
      <c r="S362">
        <f t="shared" si="17"/>
        <v>11.982745885848999</v>
      </c>
      <c r="T362">
        <f t="shared" si="18"/>
        <v>11.602702702702702</v>
      </c>
      <c r="U362">
        <f t="shared" si="19"/>
        <v>27900</v>
      </c>
    </row>
    <row r="363" spans="2:21" x14ac:dyDescent="0.25">
      <c r="B363" t="s">
        <v>2</v>
      </c>
      <c r="C363" t="s">
        <v>7</v>
      </c>
      <c r="D363" s="1">
        <v>0.39583333333333331</v>
      </c>
      <c r="E363">
        <v>12</v>
      </c>
      <c r="F363">
        <v>740</v>
      </c>
      <c r="G363">
        <v>2.4324324324324325</v>
      </c>
      <c r="H363">
        <v>4.9333333333333336</v>
      </c>
      <c r="I363" t="e">
        <v>#NAME?</v>
      </c>
      <c r="J363">
        <v>8</v>
      </c>
      <c r="K363" t="e">
        <v>#NAME?</v>
      </c>
      <c r="L363">
        <v>9</v>
      </c>
      <c r="M363">
        <v>14.5</v>
      </c>
      <c r="N363">
        <v>5.5</v>
      </c>
      <c r="O363">
        <v>0.99846911430358887</v>
      </c>
      <c r="P363">
        <v>0.96689189189189184</v>
      </c>
      <c r="Q363">
        <v>0.34022988505747126</v>
      </c>
      <c r="R363">
        <v>0.1</v>
      </c>
      <c r="S363">
        <f t="shared" si="17"/>
        <v>11.981629371643066</v>
      </c>
      <c r="T363">
        <f t="shared" si="18"/>
        <v>11.602702702702702</v>
      </c>
      <c r="U363">
        <f t="shared" si="19"/>
        <v>26100</v>
      </c>
    </row>
    <row r="364" spans="2:21" x14ac:dyDescent="0.25">
      <c r="B364" t="s">
        <v>2</v>
      </c>
      <c r="C364" t="s">
        <v>7</v>
      </c>
      <c r="D364" s="1">
        <v>0.41666666666666669</v>
      </c>
      <c r="E364">
        <v>15</v>
      </c>
      <c r="F364">
        <v>740</v>
      </c>
      <c r="G364">
        <v>2.4324324324324325</v>
      </c>
      <c r="H364">
        <v>6.166666666666667</v>
      </c>
      <c r="I364" t="e">
        <v>#NAME?</v>
      </c>
      <c r="J364">
        <v>10</v>
      </c>
      <c r="K364" t="e">
        <v>#NAME?</v>
      </c>
      <c r="L364">
        <v>12</v>
      </c>
      <c r="M364">
        <v>18.5</v>
      </c>
      <c r="N364">
        <v>6.5</v>
      </c>
      <c r="O364">
        <v>0.99947530031204224</v>
      </c>
      <c r="P364">
        <v>1</v>
      </c>
      <c r="Q364">
        <v>0.33333333333333331</v>
      </c>
      <c r="R364">
        <v>0.1</v>
      </c>
      <c r="S364">
        <f t="shared" si="17"/>
        <v>14.992129504680634</v>
      </c>
      <c r="T364">
        <f t="shared" si="18"/>
        <v>15</v>
      </c>
      <c r="U364">
        <f t="shared" si="19"/>
        <v>33300</v>
      </c>
    </row>
    <row r="365" spans="2:21" x14ac:dyDescent="0.25">
      <c r="B365" t="s">
        <v>2</v>
      </c>
      <c r="C365" t="s">
        <v>7</v>
      </c>
      <c r="D365" s="1">
        <v>0.4375</v>
      </c>
      <c r="E365">
        <v>18</v>
      </c>
      <c r="F365">
        <v>740</v>
      </c>
      <c r="G365">
        <v>2.4324324324324325</v>
      </c>
      <c r="H365">
        <v>7.4</v>
      </c>
      <c r="I365" t="e">
        <v>#NAME?</v>
      </c>
      <c r="J365">
        <v>11</v>
      </c>
      <c r="K365" t="e">
        <v>#NAME?</v>
      </c>
      <c r="L365">
        <v>13</v>
      </c>
      <c r="M365">
        <v>16.5</v>
      </c>
      <c r="N365">
        <v>3.5</v>
      </c>
      <c r="O365">
        <v>0.983146071434021</v>
      </c>
      <c r="P365">
        <v>0.93108108108108112</v>
      </c>
      <c r="Q365">
        <v>0.44848484848484849</v>
      </c>
      <c r="R365">
        <v>0.1</v>
      </c>
      <c r="S365">
        <f t="shared" si="17"/>
        <v>17.696629285812378</v>
      </c>
      <c r="T365">
        <f t="shared" si="18"/>
        <v>16.75945945945946</v>
      </c>
      <c r="U365">
        <f t="shared" si="19"/>
        <v>29700</v>
      </c>
    </row>
    <row r="366" spans="2:21" x14ac:dyDescent="0.25">
      <c r="B366" t="s">
        <v>2</v>
      </c>
      <c r="C366" t="s">
        <v>7</v>
      </c>
      <c r="D366" s="1">
        <v>0.45833333333333331</v>
      </c>
      <c r="E366">
        <v>13</v>
      </c>
      <c r="F366">
        <v>740</v>
      </c>
      <c r="G366">
        <v>2.4324324324324325</v>
      </c>
      <c r="H366">
        <v>5.3444444444444441</v>
      </c>
      <c r="I366" t="e">
        <v>#NAME?</v>
      </c>
      <c r="J366">
        <v>9</v>
      </c>
      <c r="K366" t="e">
        <v>#NAME?</v>
      </c>
      <c r="L366">
        <v>10</v>
      </c>
      <c r="M366">
        <v>18</v>
      </c>
      <c r="N366">
        <v>8</v>
      </c>
      <c r="O366">
        <v>0.99988746643066406</v>
      </c>
      <c r="P366">
        <v>0.99168399168399191</v>
      </c>
      <c r="Q366">
        <v>0.29691358024691356</v>
      </c>
      <c r="R366">
        <v>0.1</v>
      </c>
      <c r="S366">
        <f t="shared" si="17"/>
        <v>12.998537063598633</v>
      </c>
      <c r="T366">
        <f t="shared" si="18"/>
        <v>12.891891891891895</v>
      </c>
      <c r="U366">
        <f t="shared" si="19"/>
        <v>32400</v>
      </c>
    </row>
    <row r="367" spans="2:21" x14ac:dyDescent="0.25">
      <c r="B367" t="s">
        <v>2</v>
      </c>
      <c r="C367" t="s">
        <v>7</v>
      </c>
      <c r="D367" s="1">
        <v>0.47916666666666669</v>
      </c>
      <c r="E367">
        <v>15</v>
      </c>
      <c r="F367">
        <v>740</v>
      </c>
      <c r="G367">
        <v>2.4324324324324325</v>
      </c>
      <c r="H367">
        <v>6.166666666666667</v>
      </c>
      <c r="I367" t="e">
        <v>#NAME?</v>
      </c>
      <c r="J367">
        <v>10</v>
      </c>
      <c r="K367" t="e">
        <v>#NAME?</v>
      </c>
      <c r="L367">
        <v>12</v>
      </c>
      <c r="M367">
        <v>18</v>
      </c>
      <c r="N367">
        <v>6</v>
      </c>
      <c r="O367">
        <v>0.99946010112762451</v>
      </c>
      <c r="P367">
        <v>1</v>
      </c>
      <c r="Q367">
        <v>0.34259259259259262</v>
      </c>
      <c r="R367">
        <v>0.1</v>
      </c>
      <c r="S367">
        <f t="shared" si="17"/>
        <v>14.991901516914368</v>
      </c>
      <c r="T367">
        <f t="shared" si="18"/>
        <v>15</v>
      </c>
      <c r="U367">
        <f t="shared" si="19"/>
        <v>32400</v>
      </c>
    </row>
    <row r="368" spans="2:21" x14ac:dyDescent="0.25">
      <c r="B368" t="s">
        <v>2</v>
      </c>
      <c r="C368" t="s">
        <v>7</v>
      </c>
      <c r="D368" s="1">
        <v>0.5</v>
      </c>
      <c r="E368">
        <v>12</v>
      </c>
      <c r="F368">
        <v>740</v>
      </c>
      <c r="G368">
        <v>2.4324324324324325</v>
      </c>
      <c r="H368">
        <v>4.9333333333333336</v>
      </c>
      <c r="I368" t="e">
        <v>#NAME?</v>
      </c>
      <c r="J368">
        <v>8</v>
      </c>
      <c r="K368" t="e">
        <v>#NAME?</v>
      </c>
      <c r="L368">
        <v>9</v>
      </c>
      <c r="M368">
        <v>11</v>
      </c>
      <c r="N368">
        <v>2</v>
      </c>
      <c r="O368">
        <v>0.94040083885192871</v>
      </c>
      <c r="P368">
        <v>0.96689189189189184</v>
      </c>
      <c r="Q368">
        <v>0.44848484848484849</v>
      </c>
      <c r="R368">
        <v>0.1</v>
      </c>
      <c r="S368">
        <f t="shared" si="17"/>
        <v>11.284810066223145</v>
      </c>
      <c r="T368">
        <f t="shared" si="18"/>
        <v>11.602702702702702</v>
      </c>
      <c r="U368">
        <f t="shared" si="19"/>
        <v>19800</v>
      </c>
    </row>
    <row r="369" spans="2:21" x14ac:dyDescent="0.25">
      <c r="B369" t="s">
        <v>2</v>
      </c>
      <c r="C369" t="s">
        <v>7</v>
      </c>
      <c r="D369" s="1">
        <v>0.52083333333333337</v>
      </c>
      <c r="E369">
        <v>10</v>
      </c>
      <c r="F369">
        <v>740</v>
      </c>
      <c r="G369">
        <v>2.4324324324324325</v>
      </c>
      <c r="H369">
        <v>4.1111111111111107</v>
      </c>
      <c r="I369" t="e">
        <v>#NAME?</v>
      </c>
      <c r="J369">
        <v>7</v>
      </c>
      <c r="K369" t="e">
        <v>#NAME?</v>
      </c>
      <c r="L369">
        <v>8</v>
      </c>
      <c r="M369">
        <v>7.5</v>
      </c>
      <c r="N369">
        <v>-0.5</v>
      </c>
      <c r="O369">
        <v>0.75038433074951172</v>
      </c>
      <c r="P369">
        <v>1</v>
      </c>
      <c r="Q369">
        <v>0.54814814814814816</v>
      </c>
      <c r="R369">
        <v>0.1</v>
      </c>
      <c r="S369">
        <f t="shared" si="17"/>
        <v>7.5038433074951172</v>
      </c>
      <c r="T369">
        <f t="shared" si="18"/>
        <v>10</v>
      </c>
      <c r="U369">
        <f t="shared" si="19"/>
        <v>13500</v>
      </c>
    </row>
    <row r="370" spans="2:21" x14ac:dyDescent="0.25">
      <c r="B370" t="s">
        <v>2</v>
      </c>
      <c r="C370" t="s">
        <v>7</v>
      </c>
      <c r="D370" s="1">
        <v>0.54166666666666663</v>
      </c>
      <c r="E370">
        <v>10</v>
      </c>
      <c r="F370">
        <v>740</v>
      </c>
      <c r="G370">
        <v>2.4324324324324325</v>
      </c>
      <c r="H370">
        <v>4.1111111111111107</v>
      </c>
      <c r="I370" t="e">
        <v>#NAME?</v>
      </c>
      <c r="J370">
        <v>7</v>
      </c>
      <c r="K370" t="e">
        <v>#NAME?</v>
      </c>
      <c r="L370">
        <v>8</v>
      </c>
      <c r="M370">
        <v>13</v>
      </c>
      <c r="N370">
        <v>5</v>
      </c>
      <c r="O370">
        <v>0.99707686901092529</v>
      </c>
      <c r="P370">
        <v>1</v>
      </c>
      <c r="Q370">
        <v>0.31623931623931623</v>
      </c>
      <c r="R370">
        <v>0.1</v>
      </c>
      <c r="S370">
        <f t="shared" si="17"/>
        <v>9.9707686901092529</v>
      </c>
      <c r="T370">
        <f t="shared" si="18"/>
        <v>10</v>
      </c>
      <c r="U370">
        <f t="shared" si="19"/>
        <v>23400</v>
      </c>
    </row>
    <row r="371" spans="2:21" x14ac:dyDescent="0.25">
      <c r="B371" t="s">
        <v>2</v>
      </c>
      <c r="C371" t="s">
        <v>7</v>
      </c>
      <c r="D371" s="1">
        <v>0.5625</v>
      </c>
      <c r="E371">
        <v>7</v>
      </c>
      <c r="F371">
        <v>740</v>
      </c>
      <c r="G371">
        <v>2.4324324324324325</v>
      </c>
      <c r="H371">
        <v>2.8777777777777778</v>
      </c>
      <c r="I371" t="e">
        <v>#NAME?</v>
      </c>
      <c r="J371">
        <v>5</v>
      </c>
      <c r="K371" t="e">
        <v>#NAME?</v>
      </c>
      <c r="L371">
        <v>6</v>
      </c>
      <c r="M371">
        <v>15</v>
      </c>
      <c r="N371">
        <v>9</v>
      </c>
      <c r="O371">
        <v>0.9999920129776001</v>
      </c>
      <c r="P371">
        <v>1</v>
      </c>
      <c r="Q371">
        <v>0.19185185185185186</v>
      </c>
      <c r="R371">
        <v>0.1</v>
      </c>
      <c r="S371">
        <f t="shared" si="17"/>
        <v>6.9999440908432007</v>
      </c>
      <c r="T371">
        <f t="shared" si="18"/>
        <v>7</v>
      </c>
      <c r="U371">
        <f t="shared" si="19"/>
        <v>27000</v>
      </c>
    </row>
    <row r="372" spans="2:21" x14ac:dyDescent="0.25">
      <c r="B372" t="s">
        <v>2</v>
      </c>
      <c r="C372" t="s">
        <v>7</v>
      </c>
      <c r="D372" s="1">
        <v>0.58333333333333337</v>
      </c>
      <c r="E372">
        <v>15</v>
      </c>
      <c r="F372">
        <v>740</v>
      </c>
      <c r="G372">
        <v>2.4324324324324325</v>
      </c>
      <c r="H372">
        <v>6.166666666666667</v>
      </c>
      <c r="I372" t="e">
        <v>#NAME?</v>
      </c>
      <c r="J372">
        <v>10</v>
      </c>
      <c r="K372" t="e">
        <v>#NAME?</v>
      </c>
      <c r="L372">
        <v>12</v>
      </c>
      <c r="M372">
        <v>14</v>
      </c>
      <c r="N372">
        <v>2</v>
      </c>
      <c r="O372">
        <v>0.97823560237884521</v>
      </c>
      <c r="P372">
        <v>1</v>
      </c>
      <c r="Q372">
        <v>0.44047619047619047</v>
      </c>
      <c r="R372">
        <v>0.1</v>
      </c>
      <c r="S372">
        <f t="shared" si="17"/>
        <v>14.673534035682678</v>
      </c>
      <c r="T372">
        <f t="shared" si="18"/>
        <v>15</v>
      </c>
      <c r="U372">
        <f t="shared" si="19"/>
        <v>25200</v>
      </c>
    </row>
    <row r="373" spans="2:21" x14ac:dyDescent="0.25">
      <c r="B373" t="s">
        <v>2</v>
      </c>
      <c r="C373" t="s">
        <v>7</v>
      </c>
      <c r="D373" s="1">
        <v>0.60416666666666663</v>
      </c>
      <c r="E373">
        <v>13</v>
      </c>
      <c r="F373">
        <v>740</v>
      </c>
      <c r="G373">
        <v>2.4324324324324325</v>
      </c>
      <c r="H373">
        <v>5.3444444444444441</v>
      </c>
      <c r="I373" t="e">
        <v>#NAME?</v>
      </c>
      <c r="J373">
        <v>9</v>
      </c>
      <c r="K373" t="e">
        <v>#NAME?</v>
      </c>
      <c r="L373">
        <v>10</v>
      </c>
      <c r="M373">
        <v>13.5</v>
      </c>
      <c r="N373">
        <v>3.5</v>
      </c>
      <c r="O373">
        <v>0.99196571111679077</v>
      </c>
      <c r="P373">
        <v>0.99168399168399191</v>
      </c>
      <c r="Q373">
        <v>0.39588477366255143</v>
      </c>
      <c r="R373">
        <v>0.1</v>
      </c>
      <c r="S373">
        <f t="shared" si="17"/>
        <v>12.89555424451828</v>
      </c>
      <c r="T373">
        <f t="shared" si="18"/>
        <v>12.891891891891895</v>
      </c>
      <c r="U373">
        <f t="shared" si="19"/>
        <v>24300</v>
      </c>
    </row>
    <row r="374" spans="2:21" x14ac:dyDescent="0.25">
      <c r="B374" t="s">
        <v>2</v>
      </c>
      <c r="C374" t="s">
        <v>7</v>
      </c>
      <c r="D374" s="1">
        <v>0.625</v>
      </c>
      <c r="E374">
        <v>14</v>
      </c>
      <c r="F374">
        <v>740</v>
      </c>
      <c r="G374">
        <v>2.4324324324324325</v>
      </c>
      <c r="H374">
        <v>5.7555555555555555</v>
      </c>
      <c r="I374" t="e">
        <v>#NAME?</v>
      </c>
      <c r="J374">
        <v>9</v>
      </c>
      <c r="K374" t="e">
        <v>#NAME?</v>
      </c>
      <c r="L374">
        <v>10</v>
      </c>
      <c r="M374">
        <v>17.5</v>
      </c>
      <c r="N374">
        <v>7.5</v>
      </c>
      <c r="O374">
        <v>0.99926650524139404</v>
      </c>
      <c r="P374">
        <v>0.92084942084942101</v>
      </c>
      <c r="Q374">
        <v>0.3288888888888889</v>
      </c>
      <c r="R374">
        <v>0.1</v>
      </c>
      <c r="S374">
        <f t="shared" si="17"/>
        <v>13.989731073379517</v>
      </c>
      <c r="T374">
        <f t="shared" si="18"/>
        <v>12.891891891891895</v>
      </c>
      <c r="U374">
        <f t="shared" si="19"/>
        <v>31500</v>
      </c>
    </row>
    <row r="375" spans="2:21" x14ac:dyDescent="0.25">
      <c r="B375" t="s">
        <v>2</v>
      </c>
      <c r="C375" t="s">
        <v>7</v>
      </c>
      <c r="D375" s="1">
        <v>0.64583333333333337</v>
      </c>
      <c r="E375">
        <v>14</v>
      </c>
      <c r="F375">
        <v>740</v>
      </c>
      <c r="G375">
        <v>2.4324324324324325</v>
      </c>
      <c r="H375">
        <v>5.7555555555555555</v>
      </c>
      <c r="I375" t="e">
        <v>#NAME?</v>
      </c>
      <c r="J375">
        <v>9</v>
      </c>
      <c r="K375" t="e">
        <v>#NAME?</v>
      </c>
      <c r="L375">
        <v>10</v>
      </c>
      <c r="M375">
        <v>19</v>
      </c>
      <c r="N375">
        <v>9</v>
      </c>
      <c r="O375">
        <v>0.99991762638092041</v>
      </c>
      <c r="P375">
        <v>0.92084942084942101</v>
      </c>
      <c r="Q375">
        <v>0.30292397660818715</v>
      </c>
      <c r="R375">
        <v>0.1</v>
      </c>
      <c r="S375">
        <f t="shared" si="17"/>
        <v>13.998846769332886</v>
      </c>
      <c r="T375">
        <f t="shared" si="18"/>
        <v>12.891891891891895</v>
      </c>
      <c r="U375">
        <f t="shared" si="19"/>
        <v>34200</v>
      </c>
    </row>
    <row r="376" spans="2:21" x14ac:dyDescent="0.25">
      <c r="B376" t="s">
        <v>2</v>
      </c>
      <c r="C376" t="s">
        <v>7</v>
      </c>
      <c r="D376" s="1">
        <v>0.66666666666666663</v>
      </c>
      <c r="E376">
        <v>16</v>
      </c>
      <c r="F376">
        <v>740</v>
      </c>
      <c r="G376">
        <v>2.4324324324324325</v>
      </c>
      <c r="H376">
        <v>6.5777777777777775</v>
      </c>
      <c r="I376" t="e">
        <v>#NAME?</v>
      </c>
      <c r="J376">
        <v>10</v>
      </c>
      <c r="K376" t="e">
        <v>#NAME?</v>
      </c>
      <c r="L376">
        <v>12</v>
      </c>
      <c r="M376">
        <v>16</v>
      </c>
      <c r="N376">
        <v>4</v>
      </c>
      <c r="O376">
        <v>0.99325472116470337</v>
      </c>
      <c r="P376">
        <v>0.96689189189189184</v>
      </c>
      <c r="Q376">
        <v>0.41111111111111109</v>
      </c>
      <c r="R376">
        <v>0.1</v>
      </c>
      <c r="S376">
        <f t="shared" si="17"/>
        <v>15.892075538635254</v>
      </c>
      <c r="T376">
        <f t="shared" si="18"/>
        <v>15.470270270270269</v>
      </c>
      <c r="U376">
        <f t="shared" si="19"/>
        <v>28800</v>
      </c>
    </row>
    <row r="377" spans="2:21" x14ac:dyDescent="0.25">
      <c r="B377" t="s">
        <v>2</v>
      </c>
      <c r="C377" t="s">
        <v>7</v>
      </c>
      <c r="D377" s="1">
        <v>0.6875</v>
      </c>
      <c r="E377">
        <v>13</v>
      </c>
      <c r="F377">
        <v>740</v>
      </c>
      <c r="G377">
        <v>2.4324324324324325</v>
      </c>
      <c r="H377">
        <v>5.3444444444444441</v>
      </c>
      <c r="I377" t="e">
        <v>#NAME?</v>
      </c>
      <c r="J377">
        <v>9</v>
      </c>
      <c r="K377" t="e">
        <v>#NAME?</v>
      </c>
      <c r="L377">
        <v>10</v>
      </c>
      <c r="M377">
        <v>17</v>
      </c>
      <c r="N377">
        <v>7</v>
      </c>
      <c r="O377">
        <v>0.99964457750320435</v>
      </c>
      <c r="P377">
        <v>0.99168399168399191</v>
      </c>
      <c r="Q377">
        <v>0.31437908496732025</v>
      </c>
      <c r="R377">
        <v>0.1</v>
      </c>
      <c r="S377">
        <f t="shared" si="17"/>
        <v>12.995379507541656</v>
      </c>
      <c r="T377">
        <f t="shared" si="18"/>
        <v>12.891891891891895</v>
      </c>
      <c r="U377">
        <f t="shared" si="19"/>
        <v>30600</v>
      </c>
    </row>
    <row r="378" spans="2:21" x14ac:dyDescent="0.25">
      <c r="B378" t="s">
        <v>2</v>
      </c>
      <c r="C378" t="s">
        <v>7</v>
      </c>
      <c r="D378" s="1">
        <v>0.70833333333333337</v>
      </c>
      <c r="E378">
        <v>9</v>
      </c>
      <c r="F378">
        <v>740</v>
      </c>
      <c r="G378">
        <v>2.4324324324324325</v>
      </c>
      <c r="H378">
        <v>3.7</v>
      </c>
      <c r="I378" t="e">
        <v>#NAME?</v>
      </c>
      <c r="J378">
        <v>7</v>
      </c>
      <c r="K378" t="e">
        <v>#NAME?</v>
      </c>
      <c r="L378">
        <v>8</v>
      </c>
      <c r="M378">
        <v>8</v>
      </c>
      <c r="N378">
        <v>0</v>
      </c>
      <c r="O378">
        <v>0.9140508770942688</v>
      </c>
      <c r="P378">
        <v>1</v>
      </c>
      <c r="Q378">
        <v>0.46250000000000002</v>
      </c>
      <c r="R378">
        <v>0.1</v>
      </c>
      <c r="S378">
        <f t="shared" si="17"/>
        <v>8.2264578938484192</v>
      </c>
      <c r="T378">
        <f t="shared" si="18"/>
        <v>9</v>
      </c>
      <c r="U378">
        <f t="shared" si="19"/>
        <v>14400</v>
      </c>
    </row>
    <row r="379" spans="2:21" x14ac:dyDescent="0.25">
      <c r="B379" t="s">
        <v>2</v>
      </c>
      <c r="C379" t="s">
        <v>7</v>
      </c>
      <c r="D379" s="1">
        <v>0.72916666666666663</v>
      </c>
      <c r="E379">
        <v>5</v>
      </c>
      <c r="F379">
        <v>740</v>
      </c>
      <c r="G379">
        <v>2.4324324324324325</v>
      </c>
      <c r="H379">
        <v>2.0555555555555554</v>
      </c>
      <c r="I379" t="e">
        <v>#NAME?</v>
      </c>
      <c r="J379">
        <v>4</v>
      </c>
      <c r="K379" t="e">
        <v>#NAME?</v>
      </c>
      <c r="L379">
        <v>5</v>
      </c>
      <c r="M379">
        <v>6.5</v>
      </c>
      <c r="N379">
        <v>1.5</v>
      </c>
      <c r="O379">
        <v>0.94566130638122559</v>
      </c>
      <c r="P379">
        <v>1</v>
      </c>
      <c r="Q379">
        <v>0.31623931623931623</v>
      </c>
      <c r="R379">
        <v>0.1</v>
      </c>
      <c r="S379">
        <f t="shared" si="17"/>
        <v>4.7283065319061279</v>
      </c>
      <c r="T379">
        <f t="shared" si="18"/>
        <v>5</v>
      </c>
      <c r="U379">
        <f t="shared" si="19"/>
        <v>11700</v>
      </c>
    </row>
    <row r="380" spans="2:21" x14ac:dyDescent="0.25">
      <c r="B380" t="s">
        <v>2</v>
      </c>
      <c r="C380" t="s">
        <v>7</v>
      </c>
      <c r="D380" s="1">
        <v>0.75</v>
      </c>
      <c r="E380">
        <v>4</v>
      </c>
      <c r="F380">
        <v>740</v>
      </c>
      <c r="G380">
        <v>2.4324324324324325</v>
      </c>
      <c r="H380">
        <v>1.6444444444444444</v>
      </c>
      <c r="I380" t="e">
        <v>#NAME?</v>
      </c>
      <c r="J380">
        <v>4</v>
      </c>
      <c r="K380" t="e">
        <v>#NAME?</v>
      </c>
      <c r="L380">
        <v>5</v>
      </c>
      <c r="M380">
        <v>5.5</v>
      </c>
      <c r="N380">
        <v>0.5</v>
      </c>
      <c r="O380">
        <v>0.91966080665588379</v>
      </c>
      <c r="P380">
        <v>1</v>
      </c>
      <c r="Q380">
        <v>0.29898989898989897</v>
      </c>
      <c r="R380">
        <v>0.1</v>
      </c>
      <c r="S380">
        <f t="shared" si="17"/>
        <v>3.6786432266235352</v>
      </c>
      <c r="T380">
        <f t="shared" si="18"/>
        <v>4</v>
      </c>
      <c r="U380">
        <f t="shared" si="19"/>
        <v>9900</v>
      </c>
    </row>
    <row r="381" spans="2:21" x14ac:dyDescent="0.25">
      <c r="B381" t="s">
        <v>2</v>
      </c>
      <c r="C381" t="s">
        <v>7</v>
      </c>
      <c r="D381" s="1">
        <v>0.77083333333333337</v>
      </c>
      <c r="E381">
        <v>2</v>
      </c>
      <c r="F381">
        <v>740</v>
      </c>
      <c r="G381">
        <v>2.4324324324324325</v>
      </c>
      <c r="H381">
        <v>0.82222222222222219</v>
      </c>
      <c r="I381" t="e">
        <v>#NAME?</v>
      </c>
      <c r="J381">
        <v>3</v>
      </c>
      <c r="K381" t="e">
        <v>#NAME?</v>
      </c>
      <c r="L381">
        <v>4</v>
      </c>
      <c r="M381">
        <v>6</v>
      </c>
      <c r="N381">
        <v>2</v>
      </c>
      <c r="O381">
        <v>0.99856561422348022</v>
      </c>
      <c r="P381">
        <v>1</v>
      </c>
      <c r="Q381">
        <v>0.13703703703703704</v>
      </c>
      <c r="R381">
        <v>0.1</v>
      </c>
      <c r="S381">
        <f t="shared" si="17"/>
        <v>1.9971312284469604</v>
      </c>
      <c r="T381">
        <f t="shared" si="18"/>
        <v>2</v>
      </c>
      <c r="U381">
        <f t="shared" si="19"/>
        <v>10800</v>
      </c>
    </row>
    <row r="382" spans="2:21" x14ac:dyDescent="0.25">
      <c r="B382" t="s">
        <v>2</v>
      </c>
      <c r="C382" t="s">
        <v>7</v>
      </c>
      <c r="D382" s="1">
        <v>0.79166666666666663</v>
      </c>
      <c r="E382">
        <v>2</v>
      </c>
      <c r="F382">
        <v>740</v>
      </c>
      <c r="G382">
        <v>2.4324324324324325</v>
      </c>
      <c r="H382">
        <v>0.82222222222222219</v>
      </c>
      <c r="I382" t="e">
        <v>#NAME?</v>
      </c>
      <c r="J382">
        <v>3</v>
      </c>
      <c r="K382" t="e">
        <v>#NAME?</v>
      </c>
      <c r="L382">
        <v>4</v>
      </c>
      <c r="M382">
        <v>3</v>
      </c>
      <c r="N382">
        <v>-1</v>
      </c>
      <c r="O382">
        <v>0.79985582828521729</v>
      </c>
      <c r="P382">
        <v>1</v>
      </c>
      <c r="Q382">
        <v>0.27407407407407408</v>
      </c>
      <c r="R382">
        <v>0.1</v>
      </c>
      <c r="S382">
        <f t="shared" si="17"/>
        <v>1.5997116565704346</v>
      </c>
      <c r="T382">
        <f t="shared" si="18"/>
        <v>2</v>
      </c>
      <c r="U382">
        <f t="shared" si="19"/>
        <v>5400</v>
      </c>
    </row>
    <row r="383" spans="2:21" x14ac:dyDescent="0.25">
      <c r="B383" t="s">
        <v>2</v>
      </c>
      <c r="C383" t="s">
        <v>7</v>
      </c>
      <c r="D383" s="1">
        <v>0.8125</v>
      </c>
      <c r="E383">
        <v>1</v>
      </c>
      <c r="F383">
        <v>740</v>
      </c>
      <c r="G383">
        <v>2.4324324324324325</v>
      </c>
      <c r="H383">
        <v>0.41111111111111109</v>
      </c>
      <c r="I383" t="e">
        <v>#NAME?</v>
      </c>
      <c r="J383">
        <v>2</v>
      </c>
      <c r="K383" t="e">
        <v>#NAME?</v>
      </c>
      <c r="L383">
        <v>3</v>
      </c>
      <c r="M383">
        <v>3</v>
      </c>
      <c r="N383">
        <v>0</v>
      </c>
      <c r="O383">
        <v>0.93797659873962402</v>
      </c>
      <c r="P383">
        <v>1</v>
      </c>
      <c r="Q383">
        <v>0.13703703703703704</v>
      </c>
      <c r="R383">
        <v>0.1</v>
      </c>
      <c r="S383">
        <f t="shared" si="17"/>
        <v>0.93797659873962402</v>
      </c>
      <c r="T383">
        <f t="shared" si="18"/>
        <v>1</v>
      </c>
      <c r="U383">
        <f t="shared" si="19"/>
        <v>5400</v>
      </c>
    </row>
    <row r="384" spans="2:21" x14ac:dyDescent="0.25">
      <c r="B384" t="s">
        <v>2</v>
      </c>
      <c r="C384" t="s">
        <v>7</v>
      </c>
      <c r="D384" s="1">
        <v>0.83333333333333337</v>
      </c>
      <c r="E384">
        <v>1</v>
      </c>
      <c r="F384">
        <v>740</v>
      </c>
      <c r="G384">
        <v>2.4324324324324325</v>
      </c>
      <c r="H384">
        <v>0.41111111111111109</v>
      </c>
      <c r="I384" t="e">
        <v>#NAME?</v>
      </c>
      <c r="J384">
        <v>2</v>
      </c>
      <c r="K384" t="e">
        <v>#NAME?</v>
      </c>
      <c r="L384">
        <v>3</v>
      </c>
      <c r="M384">
        <v>1.5</v>
      </c>
      <c r="N384">
        <v>-1.5</v>
      </c>
      <c r="O384">
        <v>0.637795090675354</v>
      </c>
      <c r="P384">
        <v>1</v>
      </c>
      <c r="Q384">
        <v>0.27407407407407408</v>
      </c>
      <c r="R384">
        <v>0.1</v>
      </c>
      <c r="S384">
        <f t="shared" si="17"/>
        <v>0.637795090675354</v>
      </c>
      <c r="T384">
        <f t="shared" si="18"/>
        <v>1</v>
      </c>
      <c r="U384">
        <f t="shared" si="19"/>
        <v>2700</v>
      </c>
    </row>
    <row r="385" spans="2:21" x14ac:dyDescent="0.25">
      <c r="B385" t="s">
        <v>2</v>
      </c>
      <c r="C385" t="s">
        <v>7</v>
      </c>
      <c r="D385" s="1">
        <v>0.85416666666666663</v>
      </c>
      <c r="E385">
        <v>1</v>
      </c>
      <c r="F385">
        <v>740</v>
      </c>
      <c r="G385">
        <v>2.4324324324324325</v>
      </c>
      <c r="H385">
        <v>0.41111111111111109</v>
      </c>
      <c r="I385" t="e">
        <v>#NAME?</v>
      </c>
      <c r="J385">
        <v>2</v>
      </c>
      <c r="K385" t="e">
        <v>#NAME?</v>
      </c>
      <c r="L385">
        <v>3</v>
      </c>
      <c r="M385">
        <v>2</v>
      </c>
      <c r="N385">
        <v>-1</v>
      </c>
      <c r="O385">
        <v>0.66520696878433228</v>
      </c>
      <c r="P385">
        <v>1</v>
      </c>
      <c r="Q385">
        <v>0.20555555555555555</v>
      </c>
      <c r="R385">
        <v>0.1</v>
      </c>
      <c r="S385">
        <f t="shared" si="17"/>
        <v>0.66520696878433228</v>
      </c>
      <c r="T385">
        <f t="shared" si="18"/>
        <v>1</v>
      </c>
      <c r="U385">
        <f t="shared" si="19"/>
        <v>3600</v>
      </c>
    </row>
    <row r="386" spans="2:21" x14ac:dyDescent="0.25">
      <c r="B386" t="s">
        <v>2</v>
      </c>
      <c r="C386" t="s">
        <v>7</v>
      </c>
      <c r="D386" s="1">
        <v>0.875</v>
      </c>
      <c r="E386">
        <v>1</v>
      </c>
      <c r="F386">
        <v>740</v>
      </c>
      <c r="G386">
        <v>2.4324324324324325</v>
      </c>
      <c r="H386">
        <v>0.41111111111111109</v>
      </c>
      <c r="I386" t="e">
        <v>#NAME?</v>
      </c>
      <c r="J386">
        <v>2</v>
      </c>
      <c r="K386" t="e">
        <v>#NAME?</v>
      </c>
      <c r="L386">
        <v>3</v>
      </c>
      <c r="M386">
        <v>1.5</v>
      </c>
      <c r="N386">
        <v>-1.5</v>
      </c>
      <c r="O386">
        <v>0.637795090675354</v>
      </c>
      <c r="P386">
        <v>1</v>
      </c>
      <c r="Q386">
        <v>0.27407407407407408</v>
      </c>
      <c r="R386">
        <v>0.1</v>
      </c>
      <c r="S386">
        <f t="shared" si="17"/>
        <v>0.637795090675354</v>
      </c>
      <c r="T386">
        <f t="shared" si="18"/>
        <v>1</v>
      </c>
      <c r="U386">
        <f t="shared" si="19"/>
        <v>2700</v>
      </c>
    </row>
    <row r="387" spans="2:21" x14ac:dyDescent="0.25">
      <c r="B387" t="s">
        <v>2</v>
      </c>
      <c r="C387" t="s">
        <v>7</v>
      </c>
      <c r="D387" s="1">
        <v>0.89583333333333337</v>
      </c>
      <c r="E387">
        <v>1</v>
      </c>
      <c r="F387">
        <v>740</v>
      </c>
      <c r="G387">
        <v>2.4324324324324325</v>
      </c>
      <c r="H387">
        <v>0.41111111111111109</v>
      </c>
      <c r="I387" t="e">
        <v>#NAME?</v>
      </c>
      <c r="J387">
        <v>2</v>
      </c>
      <c r="K387" t="e">
        <v>#NAME?</v>
      </c>
      <c r="L387">
        <v>3</v>
      </c>
      <c r="M387">
        <v>2</v>
      </c>
      <c r="N387">
        <v>-1</v>
      </c>
      <c r="O387">
        <v>0.66520696878433228</v>
      </c>
      <c r="P387">
        <v>1</v>
      </c>
      <c r="Q387">
        <v>0.20555555555555555</v>
      </c>
      <c r="R387">
        <v>0.1</v>
      </c>
      <c r="S387">
        <f t="shared" si="17"/>
        <v>0.66520696878433228</v>
      </c>
      <c r="T387">
        <f t="shared" si="18"/>
        <v>1</v>
      </c>
      <c r="U387">
        <f t="shared" si="19"/>
        <v>3600</v>
      </c>
    </row>
    <row r="388" spans="2:21" x14ac:dyDescent="0.25">
      <c r="B388" t="s">
        <v>2</v>
      </c>
      <c r="C388" t="s">
        <v>8</v>
      </c>
      <c r="D388" s="1">
        <v>0.25</v>
      </c>
      <c r="E388">
        <v>1</v>
      </c>
      <c r="F388">
        <v>740</v>
      </c>
      <c r="G388">
        <v>2.4324324324324325</v>
      </c>
      <c r="H388">
        <v>0.41111111111111109</v>
      </c>
      <c r="I388" t="e">
        <v>#NAME?</v>
      </c>
      <c r="J388">
        <v>2</v>
      </c>
      <c r="K388" t="e">
        <v>#NAME?</v>
      </c>
      <c r="L388">
        <v>3</v>
      </c>
      <c r="M388">
        <v>1</v>
      </c>
      <c r="N388">
        <v>-2</v>
      </c>
      <c r="O388">
        <v>1</v>
      </c>
      <c r="P388">
        <v>1</v>
      </c>
      <c r="Q388">
        <v>0.41111111111111109</v>
      </c>
      <c r="R388">
        <v>0.2</v>
      </c>
      <c r="S388">
        <f t="shared" si="17"/>
        <v>1</v>
      </c>
      <c r="T388">
        <f t="shared" si="18"/>
        <v>1</v>
      </c>
      <c r="U388">
        <f t="shared" si="19"/>
        <v>1800</v>
      </c>
    </row>
    <row r="389" spans="2:21" x14ac:dyDescent="0.25">
      <c r="B389" t="s">
        <v>2</v>
      </c>
      <c r="C389" t="s">
        <v>8</v>
      </c>
      <c r="D389" s="1">
        <v>0.27083333333333331</v>
      </c>
      <c r="E389">
        <v>1</v>
      </c>
      <c r="F389">
        <v>740</v>
      </c>
      <c r="G389">
        <v>2.4324324324324325</v>
      </c>
      <c r="H389">
        <v>0.41111111111111109</v>
      </c>
      <c r="I389" t="e">
        <v>#NAME?</v>
      </c>
      <c r="J389">
        <v>2</v>
      </c>
      <c r="K389" t="e">
        <v>#NAME?</v>
      </c>
      <c r="L389">
        <v>3</v>
      </c>
      <c r="M389">
        <v>1</v>
      </c>
      <c r="N389">
        <v>-2</v>
      </c>
      <c r="O389">
        <v>1</v>
      </c>
      <c r="P389">
        <v>1</v>
      </c>
      <c r="Q389">
        <v>0.41111111111111109</v>
      </c>
      <c r="R389">
        <v>0.2</v>
      </c>
      <c r="S389">
        <f t="shared" ref="S389:S451" si="20">IFERROR(O389*E389,"")</f>
        <v>1</v>
      </c>
      <c r="T389">
        <f t="shared" ref="T389:T451" si="21">IFERROR(P389*E389,"")</f>
        <v>1</v>
      </c>
      <c r="U389">
        <f t="shared" si="19"/>
        <v>1800</v>
      </c>
    </row>
    <row r="390" spans="2:21" x14ac:dyDescent="0.25">
      <c r="B390" t="s">
        <v>2</v>
      </c>
      <c r="C390" t="s">
        <v>8</v>
      </c>
      <c r="D390" s="1">
        <v>0.29166666666666669</v>
      </c>
      <c r="E390">
        <v>1</v>
      </c>
      <c r="F390">
        <v>740</v>
      </c>
      <c r="G390">
        <v>2.4324324324324325</v>
      </c>
      <c r="H390">
        <v>0.41111111111111109</v>
      </c>
      <c r="I390" t="e">
        <v>#NAME?</v>
      </c>
      <c r="J390">
        <v>2</v>
      </c>
      <c r="K390" t="e">
        <v>#NAME?</v>
      </c>
      <c r="L390">
        <v>3</v>
      </c>
      <c r="M390">
        <v>4</v>
      </c>
      <c r="N390">
        <v>1</v>
      </c>
      <c r="O390">
        <v>0.9920501708984375</v>
      </c>
      <c r="P390">
        <v>1</v>
      </c>
      <c r="Q390">
        <v>0.10277777777777777</v>
      </c>
      <c r="R390">
        <v>0.2</v>
      </c>
      <c r="S390">
        <f t="shared" si="20"/>
        <v>0.9920501708984375</v>
      </c>
      <c r="T390">
        <f t="shared" si="21"/>
        <v>1</v>
      </c>
      <c r="U390">
        <f t="shared" si="19"/>
        <v>7200</v>
      </c>
    </row>
    <row r="391" spans="2:21" x14ac:dyDescent="0.25">
      <c r="B391" t="s">
        <v>2</v>
      </c>
      <c r="C391" t="s">
        <v>8</v>
      </c>
      <c r="D391" s="1">
        <v>0.3125</v>
      </c>
      <c r="E391">
        <v>4</v>
      </c>
      <c r="F391">
        <v>740</v>
      </c>
      <c r="G391">
        <v>2.4324324324324325</v>
      </c>
      <c r="H391">
        <v>1.6444444444444444</v>
      </c>
      <c r="I391" t="e">
        <v>#NAME?</v>
      </c>
      <c r="J391">
        <v>4</v>
      </c>
      <c r="K391" t="e">
        <v>#NAME?</v>
      </c>
      <c r="L391">
        <v>5</v>
      </c>
      <c r="M391">
        <v>4</v>
      </c>
      <c r="N391">
        <v>-1</v>
      </c>
      <c r="O391">
        <v>0.75859594345092773</v>
      </c>
      <c r="P391">
        <v>1</v>
      </c>
      <c r="Q391">
        <v>0.41111111111111109</v>
      </c>
      <c r="R391">
        <v>0.2</v>
      </c>
      <c r="S391">
        <f t="shared" si="20"/>
        <v>3.0343837738037109</v>
      </c>
      <c r="T391">
        <f t="shared" si="21"/>
        <v>4</v>
      </c>
      <c r="U391">
        <f t="shared" si="19"/>
        <v>7200</v>
      </c>
    </row>
    <row r="392" spans="2:21" x14ac:dyDescent="0.25">
      <c r="B392" t="s">
        <v>2</v>
      </c>
      <c r="C392" t="s">
        <v>8</v>
      </c>
      <c r="D392" s="1">
        <v>0.33333333333333331</v>
      </c>
      <c r="E392">
        <v>12</v>
      </c>
      <c r="F392">
        <v>740</v>
      </c>
      <c r="G392">
        <v>2.4324324324324325</v>
      </c>
      <c r="H392">
        <v>4.9333333333333336</v>
      </c>
      <c r="I392" t="e">
        <v>#NAME?</v>
      </c>
      <c r="J392">
        <v>8</v>
      </c>
      <c r="K392" t="e">
        <v>#NAME?</v>
      </c>
      <c r="L392">
        <v>9</v>
      </c>
      <c r="M392">
        <v>10</v>
      </c>
      <c r="N392">
        <v>1</v>
      </c>
      <c r="O392">
        <v>0.93270456790924072</v>
      </c>
      <c r="P392">
        <v>1</v>
      </c>
      <c r="Q392">
        <v>0.49333333333333335</v>
      </c>
      <c r="R392">
        <v>0.2</v>
      </c>
      <c r="S392">
        <f t="shared" si="20"/>
        <v>11.192454814910889</v>
      </c>
      <c r="T392">
        <f t="shared" si="21"/>
        <v>12</v>
      </c>
      <c r="U392">
        <f t="shared" si="19"/>
        <v>18000</v>
      </c>
    </row>
    <row r="393" spans="2:21" x14ac:dyDescent="0.25">
      <c r="B393" t="s">
        <v>2</v>
      </c>
      <c r="C393" t="s">
        <v>8</v>
      </c>
      <c r="D393" s="1">
        <v>0.35416666666666669</v>
      </c>
      <c r="E393">
        <v>13</v>
      </c>
      <c r="F393">
        <v>740</v>
      </c>
      <c r="G393">
        <v>2.4324324324324325</v>
      </c>
      <c r="H393">
        <v>5.3444444444444441</v>
      </c>
      <c r="I393" t="e">
        <v>#NAME?</v>
      </c>
      <c r="J393">
        <v>9</v>
      </c>
      <c r="K393" t="e">
        <v>#NAME?</v>
      </c>
      <c r="L393">
        <v>10</v>
      </c>
      <c r="M393">
        <v>10</v>
      </c>
      <c r="N393">
        <v>0</v>
      </c>
      <c r="O393">
        <v>0.89788496494293213</v>
      </c>
      <c r="P393">
        <v>1</v>
      </c>
      <c r="Q393">
        <v>0.5344444444444445</v>
      </c>
      <c r="R393">
        <v>0.2</v>
      </c>
      <c r="S393">
        <f t="shared" si="20"/>
        <v>11.672504544258118</v>
      </c>
      <c r="T393">
        <f t="shared" si="21"/>
        <v>13</v>
      </c>
      <c r="U393">
        <f t="shared" si="19"/>
        <v>18000</v>
      </c>
    </row>
    <row r="394" spans="2:21" x14ac:dyDescent="0.25">
      <c r="B394" t="s">
        <v>2</v>
      </c>
      <c r="C394" t="s">
        <v>8</v>
      </c>
      <c r="D394" s="1">
        <v>0.375</v>
      </c>
      <c r="E394">
        <v>12</v>
      </c>
      <c r="F394">
        <v>740</v>
      </c>
      <c r="G394">
        <v>2.4324324324324325</v>
      </c>
      <c r="H394">
        <v>4.9333333333333336</v>
      </c>
      <c r="I394" t="e">
        <v>#NAME?</v>
      </c>
      <c r="J394">
        <v>8</v>
      </c>
      <c r="K394" t="e">
        <v>#NAME?</v>
      </c>
      <c r="L394">
        <v>9</v>
      </c>
      <c r="M394">
        <v>12.5</v>
      </c>
      <c r="N394">
        <v>3.5</v>
      </c>
      <c r="O394">
        <v>0.98859876394271851</v>
      </c>
      <c r="P394">
        <v>1</v>
      </c>
      <c r="Q394">
        <v>0.39466666666666667</v>
      </c>
      <c r="R394">
        <v>0.2</v>
      </c>
      <c r="S394">
        <f t="shared" si="20"/>
        <v>11.863185167312622</v>
      </c>
      <c r="T394">
        <f t="shared" si="21"/>
        <v>12</v>
      </c>
      <c r="U394">
        <f t="shared" si="19"/>
        <v>22500</v>
      </c>
    </row>
    <row r="395" spans="2:21" x14ac:dyDescent="0.25">
      <c r="B395" t="s">
        <v>2</v>
      </c>
      <c r="C395" t="s">
        <v>8</v>
      </c>
      <c r="D395" s="1">
        <v>0.39583333333333331</v>
      </c>
      <c r="E395">
        <v>15</v>
      </c>
      <c r="F395">
        <v>740</v>
      </c>
      <c r="G395">
        <v>2.4324324324324325</v>
      </c>
      <c r="H395">
        <v>6.166666666666667</v>
      </c>
      <c r="I395" t="e">
        <v>#NAME?</v>
      </c>
      <c r="J395">
        <v>10</v>
      </c>
      <c r="K395" t="e">
        <v>#NAME?</v>
      </c>
      <c r="L395">
        <v>12</v>
      </c>
      <c r="M395">
        <v>12</v>
      </c>
      <c r="N395">
        <v>0</v>
      </c>
      <c r="O395">
        <v>0.9064907431602478</v>
      </c>
      <c r="P395">
        <v>1</v>
      </c>
      <c r="Q395">
        <v>0.51388888888888884</v>
      </c>
      <c r="R395">
        <v>0.2</v>
      </c>
      <c r="S395">
        <f t="shared" si="20"/>
        <v>13.597361147403717</v>
      </c>
      <c r="T395">
        <f t="shared" si="21"/>
        <v>15</v>
      </c>
      <c r="U395">
        <f t="shared" si="19"/>
        <v>21600</v>
      </c>
    </row>
    <row r="396" spans="2:21" x14ac:dyDescent="0.25">
      <c r="B396" t="s">
        <v>2</v>
      </c>
      <c r="C396" t="s">
        <v>8</v>
      </c>
      <c r="D396" s="1">
        <v>0.41666666666666669</v>
      </c>
      <c r="E396">
        <v>14</v>
      </c>
      <c r="F396">
        <v>740</v>
      </c>
      <c r="G396">
        <v>2.4324324324324325</v>
      </c>
      <c r="H396">
        <v>5.7555555555555555</v>
      </c>
      <c r="I396" t="e">
        <v>#NAME?</v>
      </c>
      <c r="J396">
        <v>9</v>
      </c>
      <c r="K396" t="e">
        <v>#NAME?</v>
      </c>
      <c r="L396">
        <v>10</v>
      </c>
      <c r="M396">
        <v>12.5</v>
      </c>
      <c r="N396">
        <v>2.5</v>
      </c>
      <c r="O396">
        <v>0.96799451112747192</v>
      </c>
      <c r="P396">
        <v>1</v>
      </c>
      <c r="Q396">
        <v>0.46044444444444443</v>
      </c>
      <c r="R396">
        <v>0.2</v>
      </c>
      <c r="S396">
        <f t="shared" si="20"/>
        <v>13.551923155784607</v>
      </c>
      <c r="T396">
        <f t="shared" si="21"/>
        <v>14</v>
      </c>
      <c r="U396">
        <f t="shared" si="19"/>
        <v>22500</v>
      </c>
    </row>
    <row r="397" spans="2:21" x14ac:dyDescent="0.25">
      <c r="B397" t="s">
        <v>2</v>
      </c>
      <c r="C397" t="s">
        <v>8</v>
      </c>
      <c r="D397" s="1">
        <v>0.4375</v>
      </c>
      <c r="E397">
        <v>15</v>
      </c>
      <c r="F397">
        <v>740</v>
      </c>
      <c r="G397">
        <v>2.4324324324324325</v>
      </c>
      <c r="H397">
        <v>6.166666666666667</v>
      </c>
      <c r="I397" t="e">
        <v>#NAME?</v>
      </c>
      <c r="J397">
        <v>10</v>
      </c>
      <c r="K397" t="e">
        <v>#NAME?</v>
      </c>
      <c r="L397">
        <v>12</v>
      </c>
      <c r="M397">
        <v>11.5</v>
      </c>
      <c r="N397">
        <v>-0.5</v>
      </c>
      <c r="O397">
        <v>0.90018254518508911</v>
      </c>
      <c r="P397">
        <v>1</v>
      </c>
      <c r="Q397">
        <v>0.53623188405797106</v>
      </c>
      <c r="R397">
        <v>0.2</v>
      </c>
      <c r="S397">
        <f t="shared" si="20"/>
        <v>13.502738177776337</v>
      </c>
      <c r="T397">
        <f t="shared" si="21"/>
        <v>15</v>
      </c>
      <c r="U397">
        <f t="shared" si="19"/>
        <v>20700</v>
      </c>
    </row>
    <row r="398" spans="2:21" x14ac:dyDescent="0.25">
      <c r="B398" t="s">
        <v>2</v>
      </c>
      <c r="C398" t="s">
        <v>8</v>
      </c>
      <c r="D398" s="1">
        <v>0.45833333333333331</v>
      </c>
      <c r="E398">
        <v>17</v>
      </c>
      <c r="F398">
        <v>740</v>
      </c>
      <c r="G398">
        <v>2.4324324324324325</v>
      </c>
      <c r="H398">
        <v>6.9888888888888889</v>
      </c>
      <c r="I398" t="e">
        <v>#NAME?</v>
      </c>
      <c r="J398">
        <v>11</v>
      </c>
      <c r="K398" t="e">
        <v>#NAME?</v>
      </c>
      <c r="L398">
        <v>13</v>
      </c>
      <c r="M398">
        <v>11.5</v>
      </c>
      <c r="N398">
        <v>-1.5</v>
      </c>
      <c r="O398">
        <v>0.81065845489501953</v>
      </c>
      <c r="P398">
        <v>1</v>
      </c>
      <c r="Q398">
        <v>0.60772946859903376</v>
      </c>
      <c r="R398">
        <v>0.2</v>
      </c>
      <c r="S398">
        <f t="shared" si="20"/>
        <v>13.781193733215332</v>
      </c>
      <c r="T398">
        <f t="shared" si="21"/>
        <v>17</v>
      </c>
      <c r="U398">
        <f t="shared" si="19"/>
        <v>20700</v>
      </c>
    </row>
    <row r="399" spans="2:21" x14ac:dyDescent="0.25">
      <c r="B399" t="s">
        <v>2</v>
      </c>
      <c r="C399" t="s">
        <v>8</v>
      </c>
      <c r="D399" s="1">
        <v>0.47916666666666669</v>
      </c>
      <c r="E399">
        <v>11</v>
      </c>
      <c r="F399">
        <v>740</v>
      </c>
      <c r="G399">
        <v>2.4324324324324325</v>
      </c>
      <c r="H399">
        <v>4.5222222222222221</v>
      </c>
      <c r="I399" t="e">
        <v>#NAME?</v>
      </c>
      <c r="J399">
        <v>8</v>
      </c>
      <c r="K399" t="e">
        <v>#NAME?</v>
      </c>
      <c r="L399">
        <v>9</v>
      </c>
      <c r="M399">
        <v>11.5</v>
      </c>
      <c r="N399">
        <v>2.5</v>
      </c>
      <c r="O399">
        <v>0.98377436399459839</v>
      </c>
      <c r="P399">
        <v>1</v>
      </c>
      <c r="Q399">
        <v>0.39323671497584539</v>
      </c>
      <c r="R399">
        <v>0.2</v>
      </c>
      <c r="S399">
        <f t="shared" si="20"/>
        <v>10.821518003940582</v>
      </c>
      <c r="T399">
        <f t="shared" si="21"/>
        <v>11</v>
      </c>
      <c r="U399">
        <f t="shared" si="19"/>
        <v>20700</v>
      </c>
    </row>
    <row r="400" spans="2:21" x14ac:dyDescent="0.25">
      <c r="B400" t="s">
        <v>2</v>
      </c>
      <c r="C400" t="s">
        <v>8</v>
      </c>
      <c r="D400" s="1">
        <v>0.5</v>
      </c>
      <c r="E400">
        <v>7</v>
      </c>
      <c r="F400">
        <v>740</v>
      </c>
      <c r="G400">
        <v>2.4324324324324325</v>
      </c>
      <c r="H400">
        <v>2.8777777777777778</v>
      </c>
      <c r="I400" t="e">
        <v>#NAME?</v>
      </c>
      <c r="J400">
        <v>5</v>
      </c>
      <c r="K400" t="e">
        <v>#NAME?</v>
      </c>
      <c r="L400">
        <v>6</v>
      </c>
      <c r="M400">
        <v>9</v>
      </c>
      <c r="N400">
        <v>3</v>
      </c>
      <c r="O400">
        <v>0.99116593599319458</v>
      </c>
      <c r="P400">
        <v>1</v>
      </c>
      <c r="Q400">
        <v>0.31975308641975309</v>
      </c>
      <c r="R400">
        <v>0.2</v>
      </c>
      <c r="S400">
        <f t="shared" si="20"/>
        <v>6.9381615519523621</v>
      </c>
      <c r="T400">
        <f t="shared" si="21"/>
        <v>7</v>
      </c>
      <c r="U400">
        <f t="shared" si="19"/>
        <v>16200</v>
      </c>
    </row>
    <row r="401" spans="2:21" x14ac:dyDescent="0.25">
      <c r="B401" t="s">
        <v>2</v>
      </c>
      <c r="C401" t="s">
        <v>8</v>
      </c>
      <c r="D401" s="1">
        <v>0.52083333333333337</v>
      </c>
      <c r="E401">
        <v>4</v>
      </c>
      <c r="F401">
        <v>740</v>
      </c>
      <c r="G401">
        <v>2.4324324324324325</v>
      </c>
      <c r="H401">
        <v>1.6444444444444444</v>
      </c>
      <c r="I401" t="e">
        <v>#NAME?</v>
      </c>
      <c r="J401">
        <v>4</v>
      </c>
      <c r="K401" t="e">
        <v>#NAME?</v>
      </c>
      <c r="L401">
        <v>5</v>
      </c>
      <c r="M401">
        <v>9</v>
      </c>
      <c r="N401">
        <v>4</v>
      </c>
      <c r="O401">
        <v>0.99973011016845703</v>
      </c>
      <c r="P401">
        <v>1</v>
      </c>
      <c r="Q401">
        <v>0.18271604938271604</v>
      </c>
      <c r="R401">
        <v>0.2</v>
      </c>
      <c r="S401">
        <f t="shared" si="20"/>
        <v>3.9989204406738281</v>
      </c>
      <c r="T401">
        <f t="shared" si="21"/>
        <v>4</v>
      </c>
      <c r="U401">
        <f t="shared" si="19"/>
        <v>16200</v>
      </c>
    </row>
    <row r="402" spans="2:21" x14ac:dyDescent="0.25">
      <c r="B402" t="s">
        <v>2</v>
      </c>
      <c r="C402" t="s">
        <v>8</v>
      </c>
      <c r="D402" s="1">
        <v>0.54166666666666663</v>
      </c>
      <c r="E402">
        <v>4</v>
      </c>
      <c r="F402">
        <v>740</v>
      </c>
      <c r="G402">
        <v>2.4324324324324325</v>
      </c>
      <c r="H402">
        <v>1.6444444444444444</v>
      </c>
      <c r="I402" t="e">
        <v>#NAME?</v>
      </c>
      <c r="J402">
        <v>4</v>
      </c>
      <c r="K402" t="e">
        <v>#NAME?</v>
      </c>
      <c r="L402">
        <v>5</v>
      </c>
      <c r="M402">
        <v>5</v>
      </c>
      <c r="N402">
        <v>0</v>
      </c>
      <c r="O402">
        <v>0.91481214761734009</v>
      </c>
      <c r="P402">
        <v>1</v>
      </c>
      <c r="Q402">
        <v>0.3288888888888889</v>
      </c>
      <c r="R402">
        <v>0.2</v>
      </c>
      <c r="S402">
        <f t="shared" si="20"/>
        <v>3.6592485904693604</v>
      </c>
      <c r="T402">
        <f t="shared" si="21"/>
        <v>4</v>
      </c>
      <c r="U402">
        <f t="shared" si="19"/>
        <v>9000</v>
      </c>
    </row>
    <row r="403" spans="2:21" x14ac:dyDescent="0.25">
      <c r="B403" t="s">
        <v>2</v>
      </c>
      <c r="C403" t="s">
        <v>8</v>
      </c>
      <c r="D403" s="1">
        <v>0.5625</v>
      </c>
      <c r="E403">
        <v>5</v>
      </c>
      <c r="F403">
        <v>740</v>
      </c>
      <c r="G403">
        <v>2.4324324324324325</v>
      </c>
      <c r="H403">
        <v>2.0555555555555554</v>
      </c>
      <c r="I403" t="e">
        <v>#NAME?</v>
      </c>
      <c r="J403">
        <v>4</v>
      </c>
      <c r="K403" t="e">
        <v>#NAME?</v>
      </c>
      <c r="L403">
        <v>5</v>
      </c>
      <c r="M403">
        <v>5</v>
      </c>
      <c r="N403">
        <v>0</v>
      </c>
      <c r="O403">
        <v>0.83946841955184937</v>
      </c>
      <c r="P403">
        <v>1</v>
      </c>
      <c r="Q403">
        <v>0.41111111111111109</v>
      </c>
      <c r="R403">
        <v>0.2</v>
      </c>
      <c r="S403">
        <f t="shared" si="20"/>
        <v>4.1973420977592468</v>
      </c>
      <c r="T403">
        <f t="shared" si="21"/>
        <v>5</v>
      </c>
      <c r="U403">
        <f t="shared" si="19"/>
        <v>9000</v>
      </c>
    </row>
    <row r="404" spans="2:21" x14ac:dyDescent="0.25">
      <c r="B404" t="s">
        <v>2</v>
      </c>
      <c r="C404" t="s">
        <v>8</v>
      </c>
      <c r="D404" s="1">
        <v>0.58333333333333337</v>
      </c>
      <c r="E404">
        <v>4</v>
      </c>
      <c r="F404">
        <v>740</v>
      </c>
      <c r="G404">
        <v>2.4324324324324325</v>
      </c>
      <c r="H404">
        <v>1.6444444444444444</v>
      </c>
      <c r="I404" t="e">
        <v>#NAME?</v>
      </c>
      <c r="J404">
        <v>4</v>
      </c>
      <c r="K404" t="e">
        <v>#NAME?</v>
      </c>
      <c r="L404">
        <v>5</v>
      </c>
      <c r="M404">
        <v>4</v>
      </c>
      <c r="N404">
        <v>-1</v>
      </c>
      <c r="O404">
        <v>0.75859594345092773</v>
      </c>
      <c r="P404">
        <v>1</v>
      </c>
      <c r="Q404">
        <v>0.41111111111111109</v>
      </c>
      <c r="R404">
        <v>0.2</v>
      </c>
      <c r="S404">
        <f t="shared" si="20"/>
        <v>3.0343837738037109</v>
      </c>
      <c r="T404">
        <f t="shared" si="21"/>
        <v>4</v>
      </c>
      <c r="U404">
        <f t="shared" si="19"/>
        <v>7200</v>
      </c>
    </row>
    <row r="405" spans="2:21" x14ac:dyDescent="0.25">
      <c r="B405" t="s">
        <v>2</v>
      </c>
      <c r="C405" t="s">
        <v>8</v>
      </c>
      <c r="D405" s="1">
        <v>0.60416666666666663</v>
      </c>
      <c r="E405">
        <v>4</v>
      </c>
      <c r="F405">
        <v>740</v>
      </c>
      <c r="G405">
        <v>2.4324324324324325</v>
      </c>
      <c r="H405">
        <v>1.6444444444444444</v>
      </c>
      <c r="I405" t="e">
        <v>#NAME?</v>
      </c>
      <c r="J405">
        <v>4</v>
      </c>
      <c r="K405" t="e">
        <v>#NAME?</v>
      </c>
      <c r="L405">
        <v>5</v>
      </c>
      <c r="M405">
        <v>6</v>
      </c>
      <c r="N405">
        <v>1</v>
      </c>
      <c r="O405">
        <v>0.97489964962005615</v>
      </c>
      <c r="P405">
        <v>1</v>
      </c>
      <c r="Q405">
        <v>0.27407407407407408</v>
      </c>
      <c r="R405">
        <v>0.2</v>
      </c>
      <c r="S405">
        <f t="shared" si="20"/>
        <v>3.8995985984802246</v>
      </c>
      <c r="T405">
        <f t="shared" si="21"/>
        <v>4</v>
      </c>
      <c r="U405">
        <f t="shared" si="19"/>
        <v>10800</v>
      </c>
    </row>
    <row r="406" spans="2:21" x14ac:dyDescent="0.25">
      <c r="B406" t="s">
        <v>2</v>
      </c>
      <c r="C406" t="s">
        <v>8</v>
      </c>
      <c r="D406" s="1">
        <v>0.625</v>
      </c>
      <c r="E406">
        <v>3</v>
      </c>
      <c r="F406">
        <v>740</v>
      </c>
      <c r="G406">
        <v>2.4324324324324325</v>
      </c>
      <c r="H406">
        <v>1.2333333333333334</v>
      </c>
      <c r="I406" t="e">
        <v>#NAME?</v>
      </c>
      <c r="J406">
        <v>3</v>
      </c>
      <c r="K406" t="e">
        <v>#NAME?</v>
      </c>
      <c r="L406">
        <v>4</v>
      </c>
      <c r="M406">
        <v>6</v>
      </c>
      <c r="N406">
        <v>2</v>
      </c>
      <c r="O406">
        <v>0.99198055267333984</v>
      </c>
      <c r="P406">
        <v>1</v>
      </c>
      <c r="Q406">
        <v>0.20555555555555555</v>
      </c>
      <c r="R406">
        <v>0.2</v>
      </c>
      <c r="S406">
        <f t="shared" si="20"/>
        <v>2.9759416580200195</v>
      </c>
      <c r="T406">
        <f t="shared" si="21"/>
        <v>3</v>
      </c>
      <c r="U406">
        <f t="shared" si="19"/>
        <v>10800</v>
      </c>
    </row>
    <row r="407" spans="2:21" x14ac:dyDescent="0.25">
      <c r="B407" t="s">
        <v>2</v>
      </c>
      <c r="C407" t="s">
        <v>8</v>
      </c>
      <c r="D407" s="1">
        <v>0.64583333333333337</v>
      </c>
      <c r="E407">
        <v>3</v>
      </c>
      <c r="F407">
        <v>740</v>
      </c>
      <c r="G407">
        <v>2.4324324324324325</v>
      </c>
      <c r="H407">
        <v>1.2333333333333334</v>
      </c>
      <c r="I407" t="e">
        <v>#NAME?</v>
      </c>
      <c r="J407">
        <v>3</v>
      </c>
      <c r="K407" t="e">
        <v>#NAME?</v>
      </c>
      <c r="L407">
        <v>4</v>
      </c>
      <c r="M407">
        <v>5.5</v>
      </c>
      <c r="N407">
        <v>1.5</v>
      </c>
      <c r="O407">
        <v>0.96619230508804321</v>
      </c>
      <c r="P407">
        <v>1</v>
      </c>
      <c r="Q407">
        <v>0.22424242424242424</v>
      </c>
      <c r="R407">
        <v>0.2</v>
      </c>
      <c r="S407">
        <f t="shared" si="20"/>
        <v>2.8985769152641296</v>
      </c>
      <c r="T407">
        <f t="shared" si="21"/>
        <v>3</v>
      </c>
      <c r="U407">
        <f t="shared" si="19"/>
        <v>9900</v>
      </c>
    </row>
    <row r="408" spans="2:21" x14ac:dyDescent="0.25">
      <c r="B408" t="s">
        <v>2</v>
      </c>
      <c r="C408" t="s">
        <v>8</v>
      </c>
      <c r="D408" s="1">
        <v>0.66666666666666663</v>
      </c>
      <c r="E408">
        <v>3</v>
      </c>
      <c r="F408">
        <v>740</v>
      </c>
      <c r="G408">
        <v>2.4324324324324325</v>
      </c>
      <c r="H408">
        <v>1.2333333333333334</v>
      </c>
      <c r="I408" t="e">
        <v>#NAME?</v>
      </c>
      <c r="J408">
        <v>3</v>
      </c>
      <c r="K408" t="e">
        <v>#NAME?</v>
      </c>
      <c r="L408">
        <v>4</v>
      </c>
      <c r="M408">
        <v>5</v>
      </c>
      <c r="N408">
        <v>1</v>
      </c>
      <c r="O408">
        <v>0.96464943885803223</v>
      </c>
      <c r="P408">
        <v>1</v>
      </c>
      <c r="Q408">
        <v>0.24666666666666667</v>
      </c>
      <c r="R408">
        <v>0.2</v>
      </c>
      <c r="S408">
        <f t="shared" si="20"/>
        <v>2.8939483165740967</v>
      </c>
      <c r="T408">
        <f t="shared" si="21"/>
        <v>3</v>
      </c>
      <c r="U408">
        <f t="shared" si="19"/>
        <v>9000</v>
      </c>
    </row>
    <row r="409" spans="2:21" x14ac:dyDescent="0.25">
      <c r="B409" t="s">
        <v>2</v>
      </c>
      <c r="C409" t="s">
        <v>8</v>
      </c>
      <c r="D409" s="1">
        <v>0.6875</v>
      </c>
      <c r="E409">
        <v>1</v>
      </c>
      <c r="F409">
        <v>740</v>
      </c>
      <c r="G409">
        <v>2.4324324324324325</v>
      </c>
      <c r="H409">
        <v>0.41111111111111109</v>
      </c>
      <c r="I409" t="e">
        <v>#NAME?</v>
      </c>
      <c r="J409">
        <v>2</v>
      </c>
      <c r="K409" t="e">
        <v>#NAME?</v>
      </c>
      <c r="L409">
        <v>3</v>
      </c>
      <c r="M409">
        <v>4.5</v>
      </c>
      <c r="N409">
        <v>1.5</v>
      </c>
      <c r="O409">
        <v>0.99920409917831421</v>
      </c>
      <c r="P409">
        <v>1</v>
      </c>
      <c r="Q409">
        <v>9.1358024691358022E-2</v>
      </c>
      <c r="R409">
        <v>0.2</v>
      </c>
      <c r="S409">
        <f t="shared" si="20"/>
        <v>0.99920409917831421</v>
      </c>
      <c r="T409">
        <f t="shared" si="21"/>
        <v>1</v>
      </c>
      <c r="U409">
        <f t="shared" si="19"/>
        <v>8100</v>
      </c>
    </row>
    <row r="410" spans="2:21" x14ac:dyDescent="0.25">
      <c r="B410" t="s">
        <v>2</v>
      </c>
      <c r="C410" t="s">
        <v>8</v>
      </c>
      <c r="D410" s="1">
        <v>0.70833333333333337</v>
      </c>
      <c r="E410">
        <v>1</v>
      </c>
      <c r="F410">
        <v>740</v>
      </c>
      <c r="G410">
        <v>2.4324324324324325</v>
      </c>
      <c r="H410">
        <v>0.41111111111111109</v>
      </c>
      <c r="I410" t="e">
        <v>#NAME?</v>
      </c>
      <c r="J410">
        <v>2</v>
      </c>
      <c r="K410" t="e">
        <v>#NAME?</v>
      </c>
      <c r="L410">
        <v>3</v>
      </c>
      <c r="M410">
        <v>3</v>
      </c>
      <c r="N410">
        <v>0</v>
      </c>
      <c r="O410">
        <v>0.93797659873962402</v>
      </c>
      <c r="P410">
        <v>1</v>
      </c>
      <c r="Q410">
        <v>0.13703703703703704</v>
      </c>
      <c r="R410">
        <v>0.2</v>
      </c>
      <c r="S410">
        <f t="shared" si="20"/>
        <v>0.93797659873962402</v>
      </c>
      <c r="T410">
        <f t="shared" si="21"/>
        <v>1</v>
      </c>
      <c r="U410">
        <f t="shared" si="19"/>
        <v>5400</v>
      </c>
    </row>
    <row r="411" spans="2:21" x14ac:dyDescent="0.25">
      <c r="B411" t="s">
        <v>2</v>
      </c>
      <c r="C411" t="s">
        <v>8</v>
      </c>
      <c r="D411" s="1">
        <v>0.72916666666666663</v>
      </c>
      <c r="E411">
        <v>1</v>
      </c>
      <c r="F411">
        <v>740</v>
      </c>
      <c r="G411">
        <v>2.4324324324324325</v>
      </c>
      <c r="H411">
        <v>0.41111111111111109</v>
      </c>
      <c r="I411" t="e">
        <v>#NAME?</v>
      </c>
      <c r="J411">
        <v>2</v>
      </c>
      <c r="K411" t="e">
        <v>#NAME?</v>
      </c>
      <c r="L411">
        <v>3</v>
      </c>
      <c r="M411">
        <v>3</v>
      </c>
      <c r="N411">
        <v>0</v>
      </c>
      <c r="O411">
        <v>0.93797659873962402</v>
      </c>
      <c r="P411">
        <v>1</v>
      </c>
      <c r="Q411">
        <v>0.13703703703703704</v>
      </c>
      <c r="R411">
        <v>0.2</v>
      </c>
      <c r="S411">
        <f t="shared" si="20"/>
        <v>0.93797659873962402</v>
      </c>
      <c r="T411">
        <f t="shared" si="21"/>
        <v>1</v>
      </c>
      <c r="U411">
        <f t="shared" si="19"/>
        <v>5400</v>
      </c>
    </row>
    <row r="412" spans="2:21" x14ac:dyDescent="0.25">
      <c r="B412" t="s">
        <v>2</v>
      </c>
      <c r="C412" t="s">
        <v>8</v>
      </c>
      <c r="D412" s="1">
        <v>0.75</v>
      </c>
      <c r="E412">
        <v>1</v>
      </c>
      <c r="F412">
        <v>740</v>
      </c>
      <c r="G412">
        <v>2.4324324324324325</v>
      </c>
      <c r="H412">
        <v>0.41111111111111109</v>
      </c>
      <c r="I412" t="e">
        <v>#NAME?</v>
      </c>
      <c r="J412">
        <v>2</v>
      </c>
      <c r="K412" t="e">
        <v>#NAME?</v>
      </c>
      <c r="L412">
        <v>3</v>
      </c>
      <c r="M412">
        <v>2</v>
      </c>
      <c r="N412">
        <v>-1</v>
      </c>
      <c r="O412">
        <v>0.66520696878433228</v>
      </c>
      <c r="P412">
        <v>1</v>
      </c>
      <c r="Q412">
        <v>0.20555555555555555</v>
      </c>
      <c r="R412">
        <v>0.2</v>
      </c>
      <c r="S412">
        <f t="shared" si="20"/>
        <v>0.66520696878433228</v>
      </c>
      <c r="T412">
        <f t="shared" si="21"/>
        <v>1</v>
      </c>
      <c r="U412">
        <f t="shared" si="19"/>
        <v>3600</v>
      </c>
    </row>
    <row r="413" spans="2:21" x14ac:dyDescent="0.25">
      <c r="B413" t="s">
        <v>2</v>
      </c>
      <c r="C413" t="s">
        <v>8</v>
      </c>
      <c r="D413" s="1">
        <v>0.77083333333333337</v>
      </c>
      <c r="E413">
        <v>1</v>
      </c>
      <c r="F413">
        <v>740</v>
      </c>
      <c r="G413">
        <v>2.4324324324324325</v>
      </c>
      <c r="H413">
        <v>0.41111111111111109</v>
      </c>
      <c r="I413" t="e">
        <v>#NAME?</v>
      </c>
      <c r="J413">
        <v>2</v>
      </c>
      <c r="K413" t="e">
        <v>#NAME?</v>
      </c>
      <c r="L413">
        <v>3</v>
      </c>
      <c r="M413">
        <v>2</v>
      </c>
      <c r="N413">
        <v>-1</v>
      </c>
      <c r="O413">
        <v>0.66520696878433228</v>
      </c>
      <c r="P413">
        <v>1</v>
      </c>
      <c r="Q413">
        <v>0.20555555555555555</v>
      </c>
      <c r="R413">
        <v>0.2</v>
      </c>
      <c r="S413">
        <f t="shared" si="20"/>
        <v>0.66520696878433228</v>
      </c>
      <c r="T413">
        <f t="shared" si="21"/>
        <v>1</v>
      </c>
      <c r="U413">
        <f t="shared" si="19"/>
        <v>3600</v>
      </c>
    </row>
    <row r="414" spans="2:21" x14ac:dyDescent="0.25">
      <c r="B414" t="s">
        <v>2</v>
      </c>
      <c r="C414" t="s">
        <v>8</v>
      </c>
      <c r="D414" s="1">
        <v>0.79166666666666663</v>
      </c>
      <c r="E414">
        <v>1</v>
      </c>
      <c r="F414">
        <v>740</v>
      </c>
      <c r="G414">
        <v>2.4324324324324325</v>
      </c>
      <c r="H414">
        <v>0.41111111111111109</v>
      </c>
      <c r="I414" t="e">
        <v>#NAME?</v>
      </c>
      <c r="J414">
        <v>2</v>
      </c>
      <c r="K414" t="e">
        <v>#NAME?</v>
      </c>
      <c r="L414">
        <v>3</v>
      </c>
      <c r="M414">
        <v>2</v>
      </c>
      <c r="N414">
        <v>-1</v>
      </c>
      <c r="O414">
        <v>1</v>
      </c>
      <c r="P414">
        <v>1</v>
      </c>
      <c r="Q414">
        <v>0.20555555555555555</v>
      </c>
      <c r="R414">
        <v>0.2</v>
      </c>
      <c r="S414">
        <f t="shared" si="20"/>
        <v>1</v>
      </c>
      <c r="T414">
        <f t="shared" si="21"/>
        <v>1</v>
      </c>
      <c r="U414">
        <f t="shared" si="19"/>
        <v>3600</v>
      </c>
    </row>
    <row r="415" spans="2:21" x14ac:dyDescent="0.25">
      <c r="B415" t="s">
        <v>2</v>
      </c>
      <c r="C415" t="s">
        <v>8</v>
      </c>
      <c r="D415" s="1">
        <v>0.8125</v>
      </c>
      <c r="E415">
        <v>1</v>
      </c>
      <c r="F415">
        <v>740</v>
      </c>
      <c r="G415">
        <v>2.4324324324324325</v>
      </c>
      <c r="H415">
        <v>0.41111111111111109</v>
      </c>
      <c r="I415" t="e">
        <v>#NAME?</v>
      </c>
      <c r="J415">
        <v>2</v>
      </c>
      <c r="K415" t="e">
        <v>#NAME?</v>
      </c>
      <c r="L415">
        <v>3</v>
      </c>
      <c r="M415">
        <v>2</v>
      </c>
      <c r="N415">
        <v>-1</v>
      </c>
      <c r="O415">
        <v>1</v>
      </c>
      <c r="P415">
        <v>1</v>
      </c>
      <c r="Q415">
        <v>0.20555555555555555</v>
      </c>
      <c r="R415">
        <v>0.2</v>
      </c>
      <c r="S415">
        <f t="shared" si="20"/>
        <v>1</v>
      </c>
      <c r="T415">
        <f t="shared" si="21"/>
        <v>1</v>
      </c>
      <c r="U415">
        <f t="shared" si="19"/>
        <v>3600</v>
      </c>
    </row>
    <row r="416" spans="2:21" x14ac:dyDescent="0.25">
      <c r="B416" t="s">
        <v>2</v>
      </c>
      <c r="C416" t="s">
        <v>8</v>
      </c>
      <c r="D416" s="1">
        <v>0.83333333333333337</v>
      </c>
      <c r="E416">
        <v>1</v>
      </c>
      <c r="F416">
        <v>740</v>
      </c>
      <c r="G416">
        <v>2.4324324324324325</v>
      </c>
      <c r="H416">
        <v>0.41111111111111109</v>
      </c>
      <c r="I416" t="e">
        <v>#NAME?</v>
      </c>
      <c r="J416">
        <v>2</v>
      </c>
      <c r="K416" t="e">
        <v>#NAME?</v>
      </c>
      <c r="L416">
        <v>3</v>
      </c>
      <c r="M416">
        <v>1.5</v>
      </c>
      <c r="N416">
        <v>-1.5</v>
      </c>
      <c r="O416">
        <v>1</v>
      </c>
      <c r="P416">
        <v>1</v>
      </c>
      <c r="Q416">
        <v>0.27407407407407408</v>
      </c>
      <c r="R416">
        <v>0.2</v>
      </c>
      <c r="S416">
        <f t="shared" si="20"/>
        <v>1</v>
      </c>
      <c r="T416">
        <f t="shared" si="21"/>
        <v>1</v>
      </c>
      <c r="U416">
        <f t="shared" si="19"/>
        <v>2700</v>
      </c>
    </row>
    <row r="417" spans="2:21" x14ac:dyDescent="0.25">
      <c r="B417" t="s">
        <v>2</v>
      </c>
      <c r="C417" t="s">
        <v>8</v>
      </c>
      <c r="D417" s="1">
        <v>0.85416666666666663</v>
      </c>
      <c r="E417">
        <v>1</v>
      </c>
      <c r="F417">
        <v>740</v>
      </c>
      <c r="G417">
        <v>2.4324324324324325</v>
      </c>
      <c r="H417">
        <v>0.41111111111111109</v>
      </c>
      <c r="I417" t="e">
        <v>#NAME?</v>
      </c>
      <c r="J417">
        <v>2</v>
      </c>
      <c r="K417" t="e">
        <v>#NAME?</v>
      </c>
      <c r="L417">
        <v>3</v>
      </c>
      <c r="M417">
        <v>2</v>
      </c>
      <c r="N417">
        <v>-1</v>
      </c>
      <c r="O417">
        <v>1</v>
      </c>
      <c r="P417">
        <v>1</v>
      </c>
      <c r="Q417">
        <v>0.20555555555555555</v>
      </c>
      <c r="R417">
        <v>0.2</v>
      </c>
      <c r="S417">
        <f t="shared" si="20"/>
        <v>1</v>
      </c>
      <c r="T417">
        <f t="shared" si="21"/>
        <v>1</v>
      </c>
      <c r="U417">
        <f t="shared" si="19"/>
        <v>3600</v>
      </c>
    </row>
    <row r="418" spans="2:21" x14ac:dyDescent="0.25">
      <c r="B418" t="s">
        <v>2</v>
      </c>
      <c r="C418" t="s">
        <v>8</v>
      </c>
      <c r="D418" s="1">
        <v>0.875</v>
      </c>
      <c r="E418">
        <v>1</v>
      </c>
      <c r="F418">
        <v>740</v>
      </c>
      <c r="G418">
        <v>2.4324324324324325</v>
      </c>
      <c r="H418">
        <v>0.41111111111111109</v>
      </c>
      <c r="I418" t="e">
        <v>#NAME?</v>
      </c>
      <c r="J418">
        <v>2</v>
      </c>
      <c r="K418" t="e">
        <v>#NAME?</v>
      </c>
      <c r="L418">
        <v>3</v>
      </c>
      <c r="M418">
        <v>2</v>
      </c>
      <c r="N418">
        <v>-1</v>
      </c>
      <c r="O418">
        <v>1</v>
      </c>
      <c r="P418">
        <v>1</v>
      </c>
      <c r="Q418">
        <v>0.20555555555555555</v>
      </c>
      <c r="R418">
        <v>0.2</v>
      </c>
      <c r="S418">
        <f t="shared" si="20"/>
        <v>1</v>
      </c>
      <c r="T418">
        <f t="shared" si="21"/>
        <v>1</v>
      </c>
      <c r="U418">
        <f t="shared" si="19"/>
        <v>3600</v>
      </c>
    </row>
    <row r="419" spans="2:21" x14ac:dyDescent="0.25">
      <c r="B419" t="s">
        <v>2</v>
      </c>
      <c r="C419" t="s">
        <v>8</v>
      </c>
      <c r="D419" s="1">
        <v>0.89583333333333337</v>
      </c>
      <c r="E419">
        <v>1</v>
      </c>
      <c r="F419">
        <v>740</v>
      </c>
      <c r="G419">
        <v>2.4324324324324325</v>
      </c>
      <c r="H419">
        <v>0.41111111111111109</v>
      </c>
      <c r="I419" t="e">
        <v>#NAME?</v>
      </c>
      <c r="J419">
        <v>2</v>
      </c>
      <c r="K419" t="e">
        <v>#NAME?</v>
      </c>
      <c r="L419">
        <v>3</v>
      </c>
      <c r="M419">
        <v>2</v>
      </c>
      <c r="N419">
        <v>-1</v>
      </c>
      <c r="O419">
        <v>1</v>
      </c>
      <c r="P419">
        <v>1</v>
      </c>
      <c r="Q419">
        <v>0.20555555555555555</v>
      </c>
      <c r="R419">
        <v>0.2</v>
      </c>
      <c r="S419">
        <f t="shared" si="20"/>
        <v>1</v>
      </c>
      <c r="T419">
        <f t="shared" si="21"/>
        <v>1</v>
      </c>
      <c r="U419">
        <f t="shared" si="19"/>
        <v>3600</v>
      </c>
    </row>
    <row r="420" spans="2:21" x14ac:dyDescent="0.25">
      <c r="B420" t="s">
        <v>2</v>
      </c>
      <c r="C420" t="s">
        <v>9</v>
      </c>
      <c r="D420" s="1">
        <v>0.25</v>
      </c>
      <c r="E420">
        <v>0</v>
      </c>
      <c r="F420">
        <v>0</v>
      </c>
      <c r="G420">
        <v>2.4324324324324325</v>
      </c>
      <c r="H420">
        <v>0</v>
      </c>
      <c r="I420" t="e">
        <v>#NAME?</v>
      </c>
      <c r="J420">
        <v>1</v>
      </c>
      <c r="K420" t="e">
        <v>#NAME?</v>
      </c>
      <c r="L420">
        <v>2</v>
      </c>
      <c r="M420">
        <v>0</v>
      </c>
      <c r="N420">
        <v>-2</v>
      </c>
      <c r="O420" t="s">
        <v>72</v>
      </c>
      <c r="P420" t="s">
        <v>72</v>
      </c>
      <c r="Q420" t="s">
        <v>72</v>
      </c>
      <c r="R420">
        <v>0.2</v>
      </c>
      <c r="S420" t="str">
        <f t="shared" si="20"/>
        <v/>
      </c>
      <c r="T420" t="str">
        <f t="shared" si="21"/>
        <v/>
      </c>
      <c r="U420">
        <f t="shared" si="19"/>
        <v>0</v>
      </c>
    </row>
    <row r="421" spans="2:21" x14ac:dyDescent="0.25">
      <c r="B421" t="s">
        <v>2</v>
      </c>
      <c r="C421" t="s">
        <v>9</v>
      </c>
      <c r="D421" s="1">
        <v>0.27083333333333331</v>
      </c>
      <c r="E421">
        <v>0</v>
      </c>
      <c r="F421">
        <v>0</v>
      </c>
      <c r="G421">
        <v>2.4324324324324325</v>
      </c>
      <c r="H421">
        <v>0</v>
      </c>
      <c r="I421" t="e">
        <v>#NAME?</v>
      </c>
      <c r="J421">
        <v>1</v>
      </c>
      <c r="K421" t="e">
        <v>#NAME?</v>
      </c>
      <c r="L421">
        <v>2</v>
      </c>
      <c r="M421">
        <v>0</v>
      </c>
      <c r="N421">
        <v>-2</v>
      </c>
      <c r="O421" t="s">
        <v>72</v>
      </c>
      <c r="P421" t="s">
        <v>72</v>
      </c>
      <c r="Q421" t="s">
        <v>72</v>
      </c>
      <c r="R421">
        <v>0.2</v>
      </c>
      <c r="S421" t="str">
        <f t="shared" si="20"/>
        <v/>
      </c>
      <c r="T421" t="str">
        <f t="shared" si="21"/>
        <v/>
      </c>
      <c r="U421">
        <f t="shared" ref="U421:U451" si="22">+M421*1800</f>
        <v>0</v>
      </c>
    </row>
    <row r="422" spans="2:21" x14ac:dyDescent="0.25">
      <c r="B422" t="s">
        <v>2</v>
      </c>
      <c r="C422" t="s">
        <v>9</v>
      </c>
      <c r="D422" s="1">
        <v>0.29166666666666669</v>
      </c>
      <c r="E422">
        <v>0</v>
      </c>
      <c r="F422">
        <v>0</v>
      </c>
      <c r="G422">
        <v>2.4324324324324325</v>
      </c>
      <c r="H422">
        <v>0</v>
      </c>
      <c r="I422" t="e">
        <v>#NAME?</v>
      </c>
      <c r="J422">
        <v>1</v>
      </c>
      <c r="K422" t="e">
        <v>#NAME?</v>
      </c>
      <c r="L422">
        <v>2</v>
      </c>
      <c r="M422">
        <v>0</v>
      </c>
      <c r="N422">
        <v>-2</v>
      </c>
      <c r="O422" t="s">
        <v>72</v>
      </c>
      <c r="P422" t="s">
        <v>72</v>
      </c>
      <c r="Q422" t="s">
        <v>72</v>
      </c>
      <c r="R422">
        <v>0.2</v>
      </c>
      <c r="S422" t="str">
        <f t="shared" si="20"/>
        <v/>
      </c>
      <c r="T422" t="str">
        <f t="shared" si="21"/>
        <v/>
      </c>
      <c r="U422">
        <f t="shared" si="22"/>
        <v>0</v>
      </c>
    </row>
    <row r="423" spans="2:21" x14ac:dyDescent="0.25">
      <c r="B423" t="s">
        <v>2</v>
      </c>
      <c r="C423" t="s">
        <v>9</v>
      </c>
      <c r="D423" s="1">
        <v>0.3125</v>
      </c>
      <c r="E423">
        <v>0</v>
      </c>
      <c r="F423">
        <v>0</v>
      </c>
      <c r="G423">
        <v>2.4324324324324325</v>
      </c>
      <c r="H423">
        <v>0</v>
      </c>
      <c r="I423" t="e">
        <v>#NAME?</v>
      </c>
      <c r="J423">
        <v>1</v>
      </c>
      <c r="K423" t="e">
        <v>#NAME?</v>
      </c>
      <c r="L423">
        <v>2</v>
      </c>
      <c r="M423">
        <v>0</v>
      </c>
      <c r="N423">
        <v>-2</v>
      </c>
      <c r="O423" t="s">
        <v>72</v>
      </c>
      <c r="P423" t="s">
        <v>72</v>
      </c>
      <c r="Q423" t="s">
        <v>72</v>
      </c>
      <c r="R423">
        <v>0.2</v>
      </c>
      <c r="S423" t="str">
        <f t="shared" si="20"/>
        <v/>
      </c>
      <c r="T423" t="str">
        <f t="shared" si="21"/>
        <v/>
      </c>
      <c r="U423">
        <f t="shared" si="22"/>
        <v>0</v>
      </c>
    </row>
    <row r="424" spans="2:21" x14ac:dyDescent="0.25">
      <c r="B424" t="s">
        <v>2</v>
      </c>
      <c r="C424" t="s">
        <v>9</v>
      </c>
      <c r="D424" s="1">
        <v>0.33333333333333331</v>
      </c>
      <c r="E424">
        <v>2</v>
      </c>
      <c r="F424">
        <v>740</v>
      </c>
      <c r="G424">
        <v>2.4324324324324325</v>
      </c>
      <c r="H424">
        <v>0.82222222222222219</v>
      </c>
      <c r="I424" t="e">
        <v>#NAME?</v>
      </c>
      <c r="J424">
        <v>3</v>
      </c>
      <c r="K424" t="e">
        <v>#NAME?</v>
      </c>
      <c r="L424">
        <v>4</v>
      </c>
      <c r="M424">
        <v>3</v>
      </c>
      <c r="N424">
        <v>-1</v>
      </c>
      <c r="O424">
        <v>0.78911429643630981</v>
      </c>
      <c r="P424">
        <v>1</v>
      </c>
      <c r="Q424">
        <v>0.27407407407407408</v>
      </c>
      <c r="R424">
        <v>0.2</v>
      </c>
      <c r="S424">
        <f t="shared" si="20"/>
        <v>1.5782285928726196</v>
      </c>
      <c r="T424">
        <f t="shared" si="21"/>
        <v>2</v>
      </c>
      <c r="U424">
        <f t="shared" si="22"/>
        <v>5400</v>
      </c>
    </row>
    <row r="425" spans="2:21" x14ac:dyDescent="0.25">
      <c r="B425" t="s">
        <v>2</v>
      </c>
      <c r="C425" t="s">
        <v>9</v>
      </c>
      <c r="D425" s="1">
        <v>0.35416666666666669</v>
      </c>
      <c r="E425">
        <v>1</v>
      </c>
      <c r="F425">
        <v>740</v>
      </c>
      <c r="G425">
        <v>2.4324324324324325</v>
      </c>
      <c r="H425">
        <v>0.41111111111111109</v>
      </c>
      <c r="I425" t="e">
        <v>#NAME?</v>
      </c>
      <c r="J425">
        <v>2</v>
      </c>
      <c r="K425" t="e">
        <v>#NAME?</v>
      </c>
      <c r="L425">
        <v>3</v>
      </c>
      <c r="M425">
        <v>3</v>
      </c>
      <c r="N425">
        <v>0</v>
      </c>
      <c r="O425">
        <v>0.93613237142562866</v>
      </c>
      <c r="P425">
        <v>1</v>
      </c>
      <c r="Q425">
        <v>0.13703703703703704</v>
      </c>
      <c r="R425">
        <v>0.2</v>
      </c>
      <c r="S425">
        <f t="shared" si="20"/>
        <v>0.93613237142562866</v>
      </c>
      <c r="T425">
        <f t="shared" si="21"/>
        <v>1</v>
      </c>
      <c r="U425">
        <f t="shared" si="22"/>
        <v>5400</v>
      </c>
    </row>
    <row r="426" spans="2:21" x14ac:dyDescent="0.25">
      <c r="B426" t="s">
        <v>2</v>
      </c>
      <c r="C426" t="s">
        <v>9</v>
      </c>
      <c r="D426" s="1">
        <v>0.375</v>
      </c>
      <c r="E426">
        <v>1</v>
      </c>
      <c r="F426">
        <v>740</v>
      </c>
      <c r="G426">
        <v>2.4324324324324325</v>
      </c>
      <c r="H426">
        <v>0.41111111111111109</v>
      </c>
      <c r="I426" t="e">
        <v>#NAME?</v>
      </c>
      <c r="J426">
        <v>2</v>
      </c>
      <c r="K426" t="e">
        <v>#NAME?</v>
      </c>
      <c r="L426">
        <v>3</v>
      </c>
      <c r="M426">
        <v>5</v>
      </c>
      <c r="N426">
        <v>2</v>
      </c>
      <c r="O426">
        <v>0.99920189380645752</v>
      </c>
      <c r="P426">
        <v>1</v>
      </c>
      <c r="Q426">
        <v>8.2222222222222224E-2</v>
      </c>
      <c r="R426">
        <v>0.2</v>
      </c>
      <c r="S426">
        <f t="shared" si="20"/>
        <v>0.99920189380645752</v>
      </c>
      <c r="T426">
        <f t="shared" si="21"/>
        <v>1</v>
      </c>
      <c r="U426">
        <f t="shared" si="22"/>
        <v>9000</v>
      </c>
    </row>
    <row r="427" spans="2:21" x14ac:dyDescent="0.25">
      <c r="B427" t="s">
        <v>2</v>
      </c>
      <c r="C427" t="s">
        <v>9</v>
      </c>
      <c r="D427" s="1">
        <v>0.39583333333333331</v>
      </c>
      <c r="E427">
        <v>1</v>
      </c>
      <c r="F427">
        <v>740</v>
      </c>
      <c r="G427">
        <v>2.4324324324324325</v>
      </c>
      <c r="H427">
        <v>0.41111111111111109</v>
      </c>
      <c r="I427" t="e">
        <v>#NAME?</v>
      </c>
      <c r="J427">
        <v>2</v>
      </c>
      <c r="K427" t="e">
        <v>#NAME?</v>
      </c>
      <c r="L427">
        <v>3</v>
      </c>
      <c r="M427">
        <v>4.5</v>
      </c>
      <c r="N427">
        <v>1.5</v>
      </c>
      <c r="O427">
        <v>0.9920501708984375</v>
      </c>
      <c r="P427">
        <v>1</v>
      </c>
      <c r="Q427">
        <v>9.1358024691358022E-2</v>
      </c>
      <c r="R427">
        <v>0.2</v>
      </c>
      <c r="S427">
        <f t="shared" si="20"/>
        <v>0.9920501708984375</v>
      </c>
      <c r="T427">
        <f t="shared" si="21"/>
        <v>1</v>
      </c>
      <c r="U427">
        <f t="shared" si="22"/>
        <v>8100</v>
      </c>
    </row>
    <row r="428" spans="2:21" x14ac:dyDescent="0.25">
      <c r="B428" t="s">
        <v>2</v>
      </c>
      <c r="C428" t="s">
        <v>9</v>
      </c>
      <c r="D428" s="1">
        <v>0.41666666666666669</v>
      </c>
      <c r="E428">
        <v>2</v>
      </c>
      <c r="F428">
        <v>740</v>
      </c>
      <c r="G428">
        <v>2.4324324324324325</v>
      </c>
      <c r="H428">
        <v>0.82222222222222219</v>
      </c>
      <c r="I428" t="e">
        <v>#NAME?</v>
      </c>
      <c r="J428">
        <v>3</v>
      </c>
      <c r="K428" t="e">
        <v>#NAME?</v>
      </c>
      <c r="L428">
        <v>4</v>
      </c>
      <c r="M428">
        <v>4.5</v>
      </c>
      <c r="N428">
        <v>0.5</v>
      </c>
      <c r="O428">
        <v>0.95115476846694946</v>
      </c>
      <c r="P428">
        <v>1</v>
      </c>
      <c r="Q428">
        <v>0.18271604938271604</v>
      </c>
      <c r="R428">
        <v>0.2</v>
      </c>
      <c r="S428">
        <f t="shared" si="20"/>
        <v>1.9023095369338989</v>
      </c>
      <c r="T428">
        <f t="shared" si="21"/>
        <v>2</v>
      </c>
      <c r="U428">
        <f t="shared" si="22"/>
        <v>8100</v>
      </c>
    </row>
    <row r="429" spans="2:21" x14ac:dyDescent="0.25">
      <c r="B429" t="s">
        <v>2</v>
      </c>
      <c r="C429" t="s">
        <v>9</v>
      </c>
      <c r="D429" s="1">
        <v>0.4375</v>
      </c>
      <c r="E429">
        <v>1</v>
      </c>
      <c r="F429">
        <v>740</v>
      </c>
      <c r="G429">
        <v>2.4324324324324325</v>
      </c>
      <c r="H429">
        <v>0.41111111111111109</v>
      </c>
      <c r="I429" t="e">
        <v>#NAME?</v>
      </c>
      <c r="J429">
        <v>2</v>
      </c>
      <c r="K429" t="e">
        <v>#NAME?</v>
      </c>
      <c r="L429">
        <v>3</v>
      </c>
      <c r="M429">
        <v>4.5</v>
      </c>
      <c r="N429">
        <v>1.5</v>
      </c>
      <c r="O429">
        <v>0.9920501708984375</v>
      </c>
      <c r="P429">
        <v>1</v>
      </c>
      <c r="Q429">
        <v>9.1358024691358022E-2</v>
      </c>
      <c r="R429">
        <v>0.2</v>
      </c>
      <c r="S429">
        <f t="shared" si="20"/>
        <v>0.9920501708984375</v>
      </c>
      <c r="T429">
        <f t="shared" si="21"/>
        <v>1</v>
      </c>
      <c r="U429">
        <f t="shared" si="22"/>
        <v>8100</v>
      </c>
    </row>
    <row r="430" spans="2:21" x14ac:dyDescent="0.25">
      <c r="B430" t="s">
        <v>2</v>
      </c>
      <c r="C430" t="s">
        <v>9</v>
      </c>
      <c r="D430" s="1">
        <v>0.45833333333333331</v>
      </c>
      <c r="E430">
        <v>1</v>
      </c>
      <c r="F430">
        <v>740</v>
      </c>
      <c r="G430">
        <v>2.4324324324324325</v>
      </c>
      <c r="H430">
        <v>0.41111111111111109</v>
      </c>
      <c r="I430" t="e">
        <v>#NAME?</v>
      </c>
      <c r="J430">
        <v>2</v>
      </c>
      <c r="K430" t="e">
        <v>#NAME?</v>
      </c>
      <c r="L430">
        <v>3</v>
      </c>
      <c r="M430">
        <v>5</v>
      </c>
      <c r="N430">
        <v>2</v>
      </c>
      <c r="O430">
        <v>0.99920189380645752</v>
      </c>
      <c r="P430">
        <v>1</v>
      </c>
      <c r="Q430">
        <v>8.2222222222222224E-2</v>
      </c>
      <c r="R430">
        <v>0.2</v>
      </c>
      <c r="S430">
        <f t="shared" si="20"/>
        <v>0.99920189380645752</v>
      </c>
      <c r="T430">
        <f t="shared" si="21"/>
        <v>1</v>
      </c>
      <c r="U430">
        <f t="shared" si="22"/>
        <v>9000</v>
      </c>
    </row>
    <row r="431" spans="2:21" x14ac:dyDescent="0.25">
      <c r="B431" t="s">
        <v>2</v>
      </c>
      <c r="C431" t="s">
        <v>9</v>
      </c>
      <c r="D431" s="1">
        <v>0.47916666666666669</v>
      </c>
      <c r="E431">
        <v>1</v>
      </c>
      <c r="F431">
        <v>740</v>
      </c>
      <c r="G431">
        <v>2.4324324324324325</v>
      </c>
      <c r="H431">
        <v>0.41111111111111109</v>
      </c>
      <c r="I431" t="e">
        <v>#NAME?</v>
      </c>
      <c r="J431">
        <v>2</v>
      </c>
      <c r="K431" t="e">
        <v>#NAME?</v>
      </c>
      <c r="L431">
        <v>3</v>
      </c>
      <c r="M431">
        <v>4.5</v>
      </c>
      <c r="N431">
        <v>1.5</v>
      </c>
      <c r="O431">
        <v>0.9920501708984375</v>
      </c>
      <c r="P431">
        <v>1</v>
      </c>
      <c r="Q431">
        <v>9.1358024691358022E-2</v>
      </c>
      <c r="R431">
        <v>0.2</v>
      </c>
      <c r="S431">
        <f t="shared" si="20"/>
        <v>0.9920501708984375</v>
      </c>
      <c r="T431">
        <f t="shared" si="21"/>
        <v>1</v>
      </c>
      <c r="U431">
        <f t="shared" si="22"/>
        <v>8100</v>
      </c>
    </row>
    <row r="432" spans="2:21" x14ac:dyDescent="0.25">
      <c r="B432" t="s">
        <v>2</v>
      </c>
      <c r="C432" t="s">
        <v>9</v>
      </c>
      <c r="D432" s="1">
        <v>0.5</v>
      </c>
      <c r="E432">
        <v>1</v>
      </c>
      <c r="F432">
        <v>740</v>
      </c>
      <c r="G432">
        <v>2.4324324324324325</v>
      </c>
      <c r="H432">
        <v>0.41111111111111109</v>
      </c>
      <c r="I432" t="e">
        <v>#NAME?</v>
      </c>
      <c r="J432">
        <v>2</v>
      </c>
      <c r="K432" t="e">
        <v>#NAME?</v>
      </c>
      <c r="L432">
        <v>3</v>
      </c>
      <c r="M432">
        <v>4</v>
      </c>
      <c r="N432">
        <v>1</v>
      </c>
      <c r="O432">
        <v>0.99183326959609985</v>
      </c>
      <c r="P432">
        <v>1</v>
      </c>
      <c r="Q432">
        <v>0.10277777777777777</v>
      </c>
      <c r="R432">
        <v>0.2</v>
      </c>
      <c r="S432">
        <f t="shared" si="20"/>
        <v>0.99183326959609985</v>
      </c>
      <c r="T432">
        <f t="shared" si="21"/>
        <v>1</v>
      </c>
      <c r="U432">
        <f t="shared" si="22"/>
        <v>7200</v>
      </c>
    </row>
    <row r="433" spans="2:21" x14ac:dyDescent="0.25">
      <c r="B433" t="s">
        <v>2</v>
      </c>
      <c r="C433" t="s">
        <v>9</v>
      </c>
      <c r="D433" s="1">
        <v>0.52083333333333337</v>
      </c>
      <c r="E433">
        <v>1</v>
      </c>
      <c r="F433">
        <v>740</v>
      </c>
      <c r="G433">
        <v>2.4324324324324325</v>
      </c>
      <c r="H433">
        <v>0.41111111111111109</v>
      </c>
      <c r="I433" t="e">
        <v>#NAME?</v>
      </c>
      <c r="J433">
        <v>2</v>
      </c>
      <c r="K433" t="e">
        <v>#NAME?</v>
      </c>
      <c r="L433">
        <v>3</v>
      </c>
      <c r="M433">
        <v>3.5</v>
      </c>
      <c r="N433">
        <v>0.5</v>
      </c>
      <c r="O433">
        <v>0.93851238489151001</v>
      </c>
      <c r="P433">
        <v>1</v>
      </c>
      <c r="Q433">
        <v>0.11746031746031746</v>
      </c>
      <c r="R433">
        <v>0.2</v>
      </c>
      <c r="S433">
        <f t="shared" si="20"/>
        <v>0.93851238489151001</v>
      </c>
      <c r="T433">
        <f t="shared" si="21"/>
        <v>1</v>
      </c>
      <c r="U433">
        <f t="shared" si="22"/>
        <v>6300</v>
      </c>
    </row>
    <row r="434" spans="2:21" x14ac:dyDescent="0.25">
      <c r="B434" t="s">
        <v>2</v>
      </c>
      <c r="C434" t="s">
        <v>9</v>
      </c>
      <c r="D434" s="1">
        <v>0.54166666666666663</v>
      </c>
      <c r="E434">
        <v>1</v>
      </c>
      <c r="F434">
        <v>740</v>
      </c>
      <c r="G434">
        <v>2.4324324324324325</v>
      </c>
      <c r="H434">
        <v>0.41111111111111109</v>
      </c>
      <c r="I434" t="e">
        <v>#NAME?</v>
      </c>
      <c r="J434">
        <v>2</v>
      </c>
      <c r="K434" t="e">
        <v>#NAME?</v>
      </c>
      <c r="L434">
        <v>3</v>
      </c>
      <c r="M434">
        <v>1.5</v>
      </c>
      <c r="N434">
        <v>-1.5</v>
      </c>
      <c r="O434">
        <v>0.62336784601211548</v>
      </c>
      <c r="P434">
        <v>1</v>
      </c>
      <c r="Q434">
        <v>0.27407407407407408</v>
      </c>
      <c r="R434">
        <v>0.2</v>
      </c>
      <c r="S434">
        <f t="shared" si="20"/>
        <v>0.62336784601211548</v>
      </c>
      <c r="T434">
        <f t="shared" si="21"/>
        <v>1</v>
      </c>
      <c r="U434">
        <f t="shared" si="22"/>
        <v>2700</v>
      </c>
    </row>
    <row r="435" spans="2:21" x14ac:dyDescent="0.25">
      <c r="B435" t="s">
        <v>2</v>
      </c>
      <c r="C435" t="s">
        <v>9</v>
      </c>
      <c r="D435" s="1">
        <v>0.5625</v>
      </c>
      <c r="E435">
        <v>1</v>
      </c>
      <c r="F435">
        <v>740</v>
      </c>
      <c r="G435">
        <v>2.4324324324324325</v>
      </c>
      <c r="H435">
        <v>0.41111111111111109</v>
      </c>
      <c r="I435" t="e">
        <v>#NAME?</v>
      </c>
      <c r="J435">
        <v>2</v>
      </c>
      <c r="K435" t="e">
        <v>#NAME?</v>
      </c>
      <c r="L435">
        <v>3</v>
      </c>
      <c r="M435">
        <v>2</v>
      </c>
      <c r="N435">
        <v>-1</v>
      </c>
      <c r="O435">
        <v>0.65506607294082642</v>
      </c>
      <c r="P435">
        <v>1</v>
      </c>
      <c r="Q435">
        <v>0.20555555555555555</v>
      </c>
      <c r="R435">
        <v>0.2</v>
      </c>
      <c r="S435">
        <f t="shared" si="20"/>
        <v>0.65506607294082642</v>
      </c>
      <c r="T435">
        <f t="shared" si="21"/>
        <v>1</v>
      </c>
      <c r="U435">
        <f t="shared" si="22"/>
        <v>3600</v>
      </c>
    </row>
    <row r="436" spans="2:21" x14ac:dyDescent="0.25">
      <c r="B436" t="s">
        <v>2</v>
      </c>
      <c r="C436" t="s">
        <v>9</v>
      </c>
      <c r="D436" s="1">
        <v>0.58333333333333337</v>
      </c>
      <c r="E436">
        <v>1</v>
      </c>
      <c r="F436">
        <v>740</v>
      </c>
      <c r="G436">
        <v>2.4324324324324325</v>
      </c>
      <c r="H436">
        <v>0.41111111111111109</v>
      </c>
      <c r="I436" t="e">
        <v>#NAME?</v>
      </c>
      <c r="J436">
        <v>2</v>
      </c>
      <c r="K436" t="e">
        <v>#NAME?</v>
      </c>
      <c r="L436">
        <v>3</v>
      </c>
      <c r="M436">
        <v>1.5</v>
      </c>
      <c r="N436">
        <v>-1.5</v>
      </c>
      <c r="O436">
        <v>0.62336784601211548</v>
      </c>
      <c r="P436">
        <v>1</v>
      </c>
      <c r="Q436">
        <v>0.27407407407407408</v>
      </c>
      <c r="R436">
        <v>0.2</v>
      </c>
      <c r="S436">
        <f t="shared" si="20"/>
        <v>0.62336784601211548</v>
      </c>
      <c r="T436">
        <f t="shared" si="21"/>
        <v>1</v>
      </c>
      <c r="U436">
        <f t="shared" si="22"/>
        <v>2700</v>
      </c>
    </row>
    <row r="437" spans="2:21" x14ac:dyDescent="0.25">
      <c r="B437" t="s">
        <v>2</v>
      </c>
      <c r="C437" t="s">
        <v>9</v>
      </c>
      <c r="D437" s="1">
        <v>0.60416666666666663</v>
      </c>
      <c r="E437">
        <v>1</v>
      </c>
      <c r="F437">
        <v>740</v>
      </c>
      <c r="G437">
        <v>2.4324324324324325</v>
      </c>
      <c r="H437">
        <v>0.41111111111111109</v>
      </c>
      <c r="I437" t="e">
        <v>#NAME?</v>
      </c>
      <c r="J437">
        <v>2</v>
      </c>
      <c r="K437" t="e">
        <v>#NAME?</v>
      </c>
      <c r="L437">
        <v>3</v>
      </c>
      <c r="M437">
        <v>2</v>
      </c>
      <c r="N437">
        <v>-1</v>
      </c>
      <c r="O437">
        <v>0.65506607294082642</v>
      </c>
      <c r="P437">
        <v>1</v>
      </c>
      <c r="Q437">
        <v>0.20555555555555555</v>
      </c>
      <c r="R437">
        <v>0.2</v>
      </c>
      <c r="S437">
        <f t="shared" si="20"/>
        <v>0.65506607294082642</v>
      </c>
      <c r="T437">
        <f t="shared" si="21"/>
        <v>1</v>
      </c>
      <c r="U437">
        <f t="shared" si="22"/>
        <v>3600</v>
      </c>
    </row>
    <row r="438" spans="2:21" x14ac:dyDescent="0.25">
      <c r="B438" t="s">
        <v>2</v>
      </c>
      <c r="C438" t="s">
        <v>9</v>
      </c>
      <c r="D438" s="1">
        <v>0.625</v>
      </c>
      <c r="E438">
        <v>0</v>
      </c>
      <c r="F438">
        <v>0</v>
      </c>
      <c r="G438">
        <v>2.4324324324324325</v>
      </c>
      <c r="H438">
        <v>0</v>
      </c>
      <c r="I438" t="e">
        <v>#NAME?</v>
      </c>
      <c r="J438">
        <v>1</v>
      </c>
      <c r="K438" t="e">
        <v>#NAME?</v>
      </c>
      <c r="L438">
        <v>2</v>
      </c>
      <c r="M438">
        <v>2</v>
      </c>
      <c r="N438">
        <v>0</v>
      </c>
      <c r="O438" t="s">
        <v>72</v>
      </c>
      <c r="P438" t="s">
        <v>72</v>
      </c>
      <c r="Q438">
        <v>0</v>
      </c>
      <c r="R438">
        <v>0.2</v>
      </c>
      <c r="S438" t="str">
        <f t="shared" si="20"/>
        <v/>
      </c>
      <c r="T438" t="str">
        <f t="shared" si="21"/>
        <v/>
      </c>
      <c r="U438">
        <f t="shared" si="22"/>
        <v>3600</v>
      </c>
    </row>
    <row r="439" spans="2:21" x14ac:dyDescent="0.25">
      <c r="B439" t="s">
        <v>2</v>
      </c>
      <c r="C439" t="s">
        <v>9</v>
      </c>
      <c r="D439" s="1">
        <v>0.64583333333333337</v>
      </c>
      <c r="E439">
        <v>0</v>
      </c>
      <c r="F439">
        <v>0</v>
      </c>
      <c r="G439">
        <v>2.4324324324324325</v>
      </c>
      <c r="H439">
        <v>0</v>
      </c>
      <c r="I439" t="e">
        <v>#NAME?</v>
      </c>
      <c r="J439">
        <v>1</v>
      </c>
      <c r="K439" t="e">
        <v>#NAME?</v>
      </c>
      <c r="L439">
        <v>2</v>
      </c>
      <c r="M439">
        <v>2</v>
      </c>
      <c r="N439">
        <v>0</v>
      </c>
      <c r="O439" t="s">
        <v>72</v>
      </c>
      <c r="P439" t="s">
        <v>72</v>
      </c>
      <c r="Q439">
        <v>0</v>
      </c>
      <c r="R439">
        <v>0.2</v>
      </c>
      <c r="S439" t="str">
        <f t="shared" si="20"/>
        <v/>
      </c>
      <c r="T439" t="str">
        <f t="shared" si="21"/>
        <v/>
      </c>
      <c r="U439">
        <f t="shared" si="22"/>
        <v>3600</v>
      </c>
    </row>
    <row r="440" spans="2:21" x14ac:dyDescent="0.25">
      <c r="B440" t="s">
        <v>2</v>
      </c>
      <c r="C440" t="s">
        <v>9</v>
      </c>
      <c r="D440" s="1">
        <v>0.66666666666666663</v>
      </c>
      <c r="E440">
        <v>0</v>
      </c>
      <c r="F440">
        <v>0</v>
      </c>
      <c r="G440">
        <v>2.4324324324324325</v>
      </c>
      <c r="H440">
        <v>0</v>
      </c>
      <c r="I440" t="e">
        <v>#NAME?</v>
      </c>
      <c r="J440">
        <v>1</v>
      </c>
      <c r="K440" t="e">
        <v>#NAME?</v>
      </c>
      <c r="L440">
        <v>2</v>
      </c>
      <c r="M440">
        <v>0</v>
      </c>
      <c r="N440">
        <v>-2</v>
      </c>
      <c r="O440" t="s">
        <v>72</v>
      </c>
      <c r="P440" t="s">
        <v>72</v>
      </c>
      <c r="Q440" t="s">
        <v>72</v>
      </c>
      <c r="R440">
        <v>0.2</v>
      </c>
      <c r="S440" t="str">
        <f t="shared" si="20"/>
        <v/>
      </c>
      <c r="T440" t="str">
        <f t="shared" si="21"/>
        <v/>
      </c>
      <c r="U440">
        <f t="shared" si="22"/>
        <v>0</v>
      </c>
    </row>
    <row r="441" spans="2:21" x14ac:dyDescent="0.25">
      <c r="B441" t="s">
        <v>2</v>
      </c>
      <c r="C441" t="s">
        <v>9</v>
      </c>
      <c r="D441" s="1">
        <v>0.6875</v>
      </c>
      <c r="E441">
        <v>0</v>
      </c>
      <c r="F441">
        <v>0</v>
      </c>
      <c r="G441">
        <v>2.4324324324324325</v>
      </c>
      <c r="H441">
        <v>0</v>
      </c>
      <c r="I441" t="e">
        <v>#NAME?</v>
      </c>
      <c r="J441">
        <v>1</v>
      </c>
      <c r="K441" t="e">
        <v>#NAME?</v>
      </c>
      <c r="L441">
        <v>2</v>
      </c>
      <c r="M441">
        <v>0</v>
      </c>
      <c r="N441">
        <v>-2</v>
      </c>
      <c r="O441" t="s">
        <v>72</v>
      </c>
      <c r="P441" t="s">
        <v>72</v>
      </c>
      <c r="Q441" t="s">
        <v>72</v>
      </c>
      <c r="R441">
        <v>0.2</v>
      </c>
      <c r="S441" t="str">
        <f t="shared" si="20"/>
        <v/>
      </c>
      <c r="T441" t="str">
        <f t="shared" si="21"/>
        <v/>
      </c>
      <c r="U441">
        <f t="shared" si="22"/>
        <v>0</v>
      </c>
    </row>
    <row r="442" spans="2:21" x14ac:dyDescent="0.25">
      <c r="B442" t="s">
        <v>2</v>
      </c>
      <c r="C442" t="s">
        <v>9</v>
      </c>
      <c r="D442" s="1">
        <v>0.70833333333333337</v>
      </c>
      <c r="E442">
        <v>0</v>
      </c>
      <c r="F442">
        <v>0</v>
      </c>
      <c r="G442">
        <v>2.4324324324324325</v>
      </c>
      <c r="H442">
        <v>0</v>
      </c>
      <c r="I442" t="e">
        <v>#NAME?</v>
      </c>
      <c r="J442">
        <v>1</v>
      </c>
      <c r="K442" t="e">
        <v>#NAME?</v>
      </c>
      <c r="L442">
        <v>2</v>
      </c>
      <c r="M442">
        <v>0</v>
      </c>
      <c r="N442">
        <v>-2</v>
      </c>
      <c r="O442" t="s">
        <v>72</v>
      </c>
      <c r="P442" t="s">
        <v>72</v>
      </c>
      <c r="Q442" t="s">
        <v>72</v>
      </c>
      <c r="R442">
        <v>0.2</v>
      </c>
      <c r="S442" t="str">
        <f t="shared" si="20"/>
        <v/>
      </c>
      <c r="T442" t="str">
        <f t="shared" si="21"/>
        <v/>
      </c>
      <c r="U442">
        <f t="shared" si="22"/>
        <v>0</v>
      </c>
    </row>
    <row r="443" spans="2:21" x14ac:dyDescent="0.25">
      <c r="B443" t="s">
        <v>2</v>
      </c>
      <c r="C443" t="s">
        <v>9</v>
      </c>
      <c r="D443" s="1">
        <v>0.72916666666666663</v>
      </c>
      <c r="E443">
        <v>0</v>
      </c>
      <c r="F443">
        <v>0</v>
      </c>
      <c r="G443">
        <v>2.4324324324324325</v>
      </c>
      <c r="H443">
        <v>0</v>
      </c>
      <c r="I443" t="e">
        <v>#NAME?</v>
      </c>
      <c r="J443">
        <v>1</v>
      </c>
      <c r="K443" t="e">
        <v>#NAME?</v>
      </c>
      <c r="L443">
        <v>2</v>
      </c>
      <c r="M443">
        <v>0</v>
      </c>
      <c r="N443">
        <v>-2</v>
      </c>
      <c r="O443" t="s">
        <v>72</v>
      </c>
      <c r="P443" t="s">
        <v>72</v>
      </c>
      <c r="Q443" t="s">
        <v>72</v>
      </c>
      <c r="R443">
        <v>0.2</v>
      </c>
      <c r="S443" t="str">
        <f t="shared" si="20"/>
        <v/>
      </c>
      <c r="T443" t="str">
        <f t="shared" si="21"/>
        <v/>
      </c>
      <c r="U443">
        <f t="shared" si="22"/>
        <v>0</v>
      </c>
    </row>
    <row r="444" spans="2:21" x14ac:dyDescent="0.25">
      <c r="B444" t="s">
        <v>2</v>
      </c>
      <c r="C444" t="s">
        <v>9</v>
      </c>
      <c r="D444" s="1">
        <v>0.75</v>
      </c>
      <c r="E444">
        <v>0</v>
      </c>
      <c r="F444">
        <v>0</v>
      </c>
      <c r="G444">
        <v>2.4324324324324325</v>
      </c>
      <c r="H444">
        <v>0</v>
      </c>
      <c r="I444" t="e">
        <v>#NAME?</v>
      </c>
      <c r="J444">
        <v>1</v>
      </c>
      <c r="K444" t="e">
        <v>#NAME?</v>
      </c>
      <c r="L444">
        <v>2</v>
      </c>
      <c r="M444">
        <v>0</v>
      </c>
      <c r="N444">
        <v>-2</v>
      </c>
      <c r="O444" t="s">
        <v>72</v>
      </c>
      <c r="P444" t="s">
        <v>72</v>
      </c>
      <c r="Q444" t="s">
        <v>72</v>
      </c>
      <c r="R444">
        <v>0.2</v>
      </c>
      <c r="S444" t="str">
        <f t="shared" si="20"/>
        <v/>
      </c>
      <c r="T444" t="str">
        <f t="shared" si="21"/>
        <v/>
      </c>
      <c r="U444">
        <f t="shared" si="22"/>
        <v>0</v>
      </c>
    </row>
    <row r="445" spans="2:21" x14ac:dyDescent="0.25">
      <c r="B445" t="s">
        <v>2</v>
      </c>
      <c r="C445" t="s">
        <v>9</v>
      </c>
      <c r="D445" s="1">
        <v>0.77083333333333337</v>
      </c>
      <c r="E445">
        <v>0</v>
      </c>
      <c r="F445">
        <v>0</v>
      </c>
      <c r="G445">
        <v>2.4324324324324325</v>
      </c>
      <c r="H445">
        <v>0</v>
      </c>
      <c r="I445" t="e">
        <v>#NAME?</v>
      </c>
      <c r="J445">
        <v>1</v>
      </c>
      <c r="K445" t="e">
        <v>#NAME?</v>
      </c>
      <c r="L445">
        <v>2</v>
      </c>
      <c r="M445">
        <v>0</v>
      </c>
      <c r="N445">
        <v>-2</v>
      </c>
      <c r="O445" t="s">
        <v>72</v>
      </c>
      <c r="P445" t="s">
        <v>72</v>
      </c>
      <c r="Q445" t="s">
        <v>72</v>
      </c>
      <c r="R445">
        <v>0.2</v>
      </c>
      <c r="S445" t="str">
        <f t="shared" si="20"/>
        <v/>
      </c>
      <c r="T445" t="str">
        <f t="shared" si="21"/>
        <v/>
      </c>
      <c r="U445">
        <f t="shared" si="22"/>
        <v>0</v>
      </c>
    </row>
    <row r="446" spans="2:21" x14ac:dyDescent="0.25">
      <c r="B446" t="s">
        <v>2</v>
      </c>
      <c r="C446" t="s">
        <v>9</v>
      </c>
      <c r="D446" s="1">
        <v>0.79166666666666663</v>
      </c>
      <c r="E446">
        <v>0</v>
      </c>
      <c r="F446">
        <v>0</v>
      </c>
      <c r="G446">
        <v>2.4324324324324325</v>
      </c>
      <c r="H446">
        <v>0</v>
      </c>
      <c r="I446" t="e">
        <v>#NAME?</v>
      </c>
      <c r="J446">
        <v>1</v>
      </c>
      <c r="K446" t="e">
        <v>#NAME?</v>
      </c>
      <c r="L446">
        <v>2</v>
      </c>
      <c r="M446">
        <v>0</v>
      </c>
      <c r="N446">
        <v>-2</v>
      </c>
      <c r="O446" t="s">
        <v>72</v>
      </c>
      <c r="P446" t="s">
        <v>72</v>
      </c>
      <c r="Q446" t="s">
        <v>72</v>
      </c>
      <c r="R446">
        <v>0.2</v>
      </c>
      <c r="S446" t="str">
        <f t="shared" si="20"/>
        <v/>
      </c>
      <c r="T446" t="str">
        <f t="shared" si="21"/>
        <v/>
      </c>
      <c r="U446">
        <f t="shared" si="22"/>
        <v>0</v>
      </c>
    </row>
    <row r="447" spans="2:21" x14ac:dyDescent="0.25">
      <c r="B447" t="s">
        <v>2</v>
      </c>
      <c r="C447" t="s">
        <v>9</v>
      </c>
      <c r="D447" s="1">
        <v>0.8125</v>
      </c>
      <c r="E447">
        <v>0</v>
      </c>
      <c r="F447">
        <v>0</v>
      </c>
      <c r="G447">
        <v>2.4324324324324325</v>
      </c>
      <c r="H447">
        <v>0</v>
      </c>
      <c r="I447" t="e">
        <v>#NAME?</v>
      </c>
      <c r="J447">
        <v>1</v>
      </c>
      <c r="K447" t="e">
        <v>#NAME?</v>
      </c>
      <c r="L447">
        <v>2</v>
      </c>
      <c r="M447">
        <v>0</v>
      </c>
      <c r="N447">
        <v>-2</v>
      </c>
      <c r="O447" t="s">
        <v>72</v>
      </c>
      <c r="P447" t="s">
        <v>72</v>
      </c>
      <c r="Q447" t="s">
        <v>72</v>
      </c>
      <c r="R447">
        <v>0.2</v>
      </c>
      <c r="S447" t="str">
        <f t="shared" si="20"/>
        <v/>
      </c>
      <c r="T447" t="str">
        <f t="shared" si="21"/>
        <v/>
      </c>
      <c r="U447">
        <f t="shared" si="22"/>
        <v>0</v>
      </c>
    </row>
    <row r="448" spans="2:21" x14ac:dyDescent="0.25">
      <c r="B448" t="s">
        <v>2</v>
      </c>
      <c r="C448" t="s">
        <v>9</v>
      </c>
      <c r="D448" s="1">
        <v>0.83333333333333337</v>
      </c>
      <c r="E448">
        <v>0</v>
      </c>
      <c r="F448">
        <v>0</v>
      </c>
      <c r="G448">
        <v>2.4324324324324325</v>
      </c>
      <c r="H448">
        <v>0</v>
      </c>
      <c r="I448" t="e">
        <v>#NAME?</v>
      </c>
      <c r="J448">
        <v>1</v>
      </c>
      <c r="K448" t="e">
        <v>#NAME?</v>
      </c>
      <c r="L448">
        <v>2</v>
      </c>
      <c r="M448">
        <v>0</v>
      </c>
      <c r="N448">
        <v>-2</v>
      </c>
      <c r="O448" t="s">
        <v>72</v>
      </c>
      <c r="P448" t="s">
        <v>72</v>
      </c>
      <c r="Q448" t="s">
        <v>72</v>
      </c>
      <c r="R448">
        <v>0.2</v>
      </c>
      <c r="S448" t="str">
        <f t="shared" si="20"/>
        <v/>
      </c>
      <c r="T448" t="str">
        <f t="shared" si="21"/>
        <v/>
      </c>
      <c r="U448">
        <f t="shared" si="22"/>
        <v>0</v>
      </c>
    </row>
    <row r="449" spans="2:21" x14ac:dyDescent="0.25">
      <c r="B449" t="s">
        <v>2</v>
      </c>
      <c r="C449" t="s">
        <v>9</v>
      </c>
      <c r="D449" s="1">
        <v>0.85416666666666663</v>
      </c>
      <c r="E449">
        <v>0</v>
      </c>
      <c r="F449">
        <v>0</v>
      </c>
      <c r="G449">
        <v>2.4324324324324325</v>
      </c>
      <c r="H449">
        <v>0</v>
      </c>
      <c r="I449" t="e">
        <v>#NAME?</v>
      </c>
      <c r="J449">
        <v>1</v>
      </c>
      <c r="K449" t="e">
        <v>#NAME?</v>
      </c>
      <c r="L449">
        <v>2</v>
      </c>
      <c r="M449">
        <v>0</v>
      </c>
      <c r="N449">
        <v>-2</v>
      </c>
      <c r="O449" t="s">
        <v>72</v>
      </c>
      <c r="P449" t="s">
        <v>72</v>
      </c>
      <c r="Q449" t="s">
        <v>72</v>
      </c>
      <c r="R449">
        <v>0.2</v>
      </c>
      <c r="S449" t="str">
        <f t="shared" si="20"/>
        <v/>
      </c>
      <c r="T449" t="str">
        <f t="shared" si="21"/>
        <v/>
      </c>
      <c r="U449">
        <f t="shared" si="22"/>
        <v>0</v>
      </c>
    </row>
    <row r="450" spans="2:21" x14ac:dyDescent="0.25">
      <c r="B450" t="s">
        <v>2</v>
      </c>
      <c r="C450" t="s">
        <v>9</v>
      </c>
      <c r="D450" s="1">
        <v>0.875</v>
      </c>
      <c r="E450">
        <v>0</v>
      </c>
      <c r="F450">
        <v>0</v>
      </c>
      <c r="G450">
        <v>2.4324324324324325</v>
      </c>
      <c r="H450">
        <v>0</v>
      </c>
      <c r="I450" t="e">
        <v>#NAME?</v>
      </c>
      <c r="J450">
        <v>1</v>
      </c>
      <c r="K450" t="e">
        <v>#NAME?</v>
      </c>
      <c r="L450">
        <v>2</v>
      </c>
      <c r="M450">
        <v>0</v>
      </c>
      <c r="N450">
        <v>-2</v>
      </c>
      <c r="O450" t="s">
        <v>72</v>
      </c>
      <c r="P450" t="s">
        <v>72</v>
      </c>
      <c r="Q450" t="s">
        <v>72</v>
      </c>
      <c r="R450">
        <v>0.2</v>
      </c>
      <c r="S450" t="str">
        <f t="shared" si="20"/>
        <v/>
      </c>
      <c r="T450" t="str">
        <f t="shared" si="21"/>
        <v/>
      </c>
      <c r="U450">
        <f t="shared" si="22"/>
        <v>0</v>
      </c>
    </row>
    <row r="451" spans="2:21" x14ac:dyDescent="0.25">
      <c r="B451" t="s">
        <v>2</v>
      </c>
      <c r="C451" t="s">
        <v>9</v>
      </c>
      <c r="D451" s="1">
        <v>0.89583333333333337</v>
      </c>
      <c r="E451">
        <v>0</v>
      </c>
      <c r="F451">
        <v>0</v>
      </c>
      <c r="G451">
        <v>2.4324324324324325</v>
      </c>
      <c r="H451">
        <v>0</v>
      </c>
      <c r="I451" t="e">
        <v>#NAME?</v>
      </c>
      <c r="J451">
        <v>1</v>
      </c>
      <c r="K451" t="e">
        <v>#NAME?</v>
      </c>
      <c r="L451">
        <v>2</v>
      </c>
      <c r="M451">
        <v>0</v>
      </c>
      <c r="N451">
        <v>-2</v>
      </c>
      <c r="O451" t="s">
        <v>72</v>
      </c>
      <c r="P451" t="s">
        <v>72</v>
      </c>
      <c r="Q451" t="s">
        <v>72</v>
      </c>
      <c r="R451">
        <v>0.2</v>
      </c>
      <c r="S451" t="str">
        <f t="shared" si="20"/>
        <v/>
      </c>
      <c r="T451" t="str">
        <f t="shared" si="21"/>
        <v/>
      </c>
      <c r="U451">
        <f t="shared" si="22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Intraday</vt:lpstr>
      <vt:lpstr>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Fabian Soler</dc:creator>
  <cp:keywords/>
  <dc:description/>
  <cp:lastModifiedBy>Fabian Soler</cp:lastModifiedBy>
  <cp:revision/>
  <dcterms:created xsi:type="dcterms:W3CDTF">2024-09-05T01:34:56Z</dcterms:created>
  <dcterms:modified xsi:type="dcterms:W3CDTF">2024-10-04T13:02:31Z</dcterms:modified>
  <cp:category/>
  <cp:contentStatus/>
</cp:coreProperties>
</file>