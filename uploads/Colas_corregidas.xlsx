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C:\Users\daniel.cristancho\Downloads\"/>
    </mc:Choice>
  </mc:AlternateContent>
  <xr:revisionPtr revIDLastSave="0" documentId="13_ncr:1_{DD3B0E87-9CD3-4A73-AC03-D5CE69EF2A13}" xr6:coauthVersionLast="47" xr6:coauthVersionMax="47" xr10:uidLastSave="{00000000-0000-0000-0000-000000000000}"/>
  <bookViews>
    <workbookView xWindow="-120" yWindow="-120" windowWidth="28530" windowHeight="19650" xr2:uid="{5CE07DAF-87E3-42EF-AFB5-9A05311F945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I3" i="1"/>
  <c r="AH4" i="1"/>
  <c r="AI4" i="1"/>
  <c r="AH5" i="1"/>
  <c r="AI5" i="1"/>
  <c r="AH6" i="1"/>
  <c r="AI6" i="1"/>
  <c r="AH7" i="1"/>
  <c r="AI7" i="1"/>
  <c r="AH8" i="1"/>
  <c r="AI8" i="1"/>
  <c r="AH9" i="1"/>
  <c r="AI9" i="1"/>
  <c r="AH10" i="1"/>
  <c r="AI10" i="1"/>
  <c r="AH11" i="1"/>
  <c r="AI11" i="1"/>
  <c r="AH12" i="1"/>
  <c r="AI12" i="1"/>
  <c r="AH13" i="1"/>
  <c r="AI13" i="1"/>
  <c r="AH14" i="1"/>
  <c r="AI14" i="1"/>
  <c r="AH15" i="1"/>
  <c r="AI15" i="1"/>
  <c r="AH16" i="1"/>
  <c r="AI16" i="1"/>
  <c r="AH17" i="1"/>
  <c r="AI17" i="1"/>
  <c r="AH18" i="1"/>
  <c r="AI18" i="1"/>
  <c r="AH19" i="1"/>
  <c r="AI19" i="1"/>
  <c r="AH20" i="1"/>
  <c r="AI20" i="1"/>
  <c r="AH21" i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H37" i="1"/>
  <c r="AI37" i="1"/>
  <c r="AH38" i="1"/>
  <c r="AI38" i="1"/>
  <c r="AH39" i="1"/>
  <c r="AI39" i="1"/>
  <c r="AH40" i="1"/>
  <c r="AI40" i="1"/>
  <c r="AH41" i="1"/>
  <c r="AI41" i="1"/>
  <c r="AH42" i="1"/>
  <c r="AI42" i="1"/>
  <c r="AH43" i="1"/>
  <c r="AI43" i="1"/>
  <c r="AH44" i="1"/>
  <c r="AI44" i="1"/>
  <c r="AH45" i="1"/>
  <c r="AI45" i="1"/>
  <c r="AH46" i="1"/>
  <c r="AI46" i="1"/>
  <c r="AI2" i="1"/>
  <c r="AH2" i="1"/>
  <c r="AE3" i="1"/>
  <c r="AF3" i="1"/>
  <c r="AE4" i="1"/>
  <c r="AF4" i="1"/>
  <c r="AE5" i="1"/>
  <c r="AF5" i="1"/>
  <c r="AE6" i="1"/>
  <c r="AF6" i="1"/>
  <c r="AE7" i="1"/>
  <c r="AF7" i="1"/>
  <c r="AE8" i="1"/>
  <c r="AF8" i="1"/>
  <c r="AE9" i="1"/>
  <c r="AF9" i="1"/>
  <c r="AE10" i="1"/>
  <c r="AF10" i="1"/>
  <c r="AE11" i="1"/>
  <c r="AF11" i="1"/>
  <c r="AE12" i="1"/>
  <c r="AF12" i="1"/>
  <c r="AE13" i="1"/>
  <c r="AF13" i="1"/>
  <c r="AE14" i="1"/>
  <c r="AF14" i="1"/>
  <c r="AE15" i="1"/>
  <c r="AF15" i="1"/>
  <c r="AE16" i="1"/>
  <c r="AF16" i="1"/>
  <c r="AE17" i="1"/>
  <c r="AF17" i="1"/>
  <c r="AE18" i="1"/>
  <c r="AF18" i="1"/>
  <c r="AE19" i="1"/>
  <c r="AF19" i="1"/>
  <c r="AE20" i="1"/>
  <c r="AF20" i="1"/>
  <c r="AE21" i="1"/>
  <c r="AF21" i="1"/>
  <c r="AE22" i="1"/>
  <c r="AF22" i="1"/>
  <c r="AE23" i="1"/>
  <c r="AF23" i="1"/>
  <c r="AE24" i="1"/>
  <c r="AF24" i="1"/>
  <c r="AE25" i="1"/>
  <c r="AF25" i="1"/>
  <c r="AE26" i="1"/>
  <c r="AF26" i="1"/>
  <c r="AE27" i="1"/>
  <c r="AF27" i="1"/>
  <c r="AE28" i="1"/>
  <c r="AF28" i="1"/>
  <c r="AE29" i="1"/>
  <c r="AF29" i="1"/>
  <c r="AE30" i="1"/>
  <c r="AF30" i="1"/>
  <c r="AE31" i="1"/>
  <c r="AF31" i="1"/>
  <c r="AE32" i="1"/>
  <c r="AF32" i="1"/>
  <c r="AE33" i="1"/>
  <c r="AF33" i="1"/>
  <c r="AE34" i="1"/>
  <c r="AF34" i="1"/>
  <c r="AE35" i="1"/>
  <c r="AF35" i="1"/>
  <c r="AE36" i="1"/>
  <c r="AF36" i="1"/>
  <c r="AE37" i="1"/>
  <c r="AF37" i="1"/>
  <c r="AE38" i="1"/>
  <c r="AF38" i="1"/>
  <c r="AE39" i="1"/>
  <c r="AF39" i="1"/>
  <c r="AE40" i="1"/>
  <c r="AF40" i="1"/>
  <c r="AE41" i="1"/>
  <c r="AF41" i="1"/>
  <c r="AE42" i="1"/>
  <c r="AF42" i="1"/>
  <c r="AE43" i="1"/>
  <c r="AF43" i="1"/>
  <c r="AE44" i="1"/>
  <c r="AF44" i="1"/>
  <c r="AE45" i="1"/>
  <c r="AF45" i="1"/>
  <c r="AE46" i="1"/>
  <c r="AF46" i="1"/>
  <c r="AF2" i="1"/>
  <c r="AE2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C2" i="1"/>
  <c r="AB2" i="1"/>
  <c r="V3" i="1"/>
  <c r="W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W2" i="1"/>
  <c r="V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Q2" i="1"/>
  <c r="P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M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2" i="1"/>
  <c r="AA3" i="1"/>
  <c r="Y3" i="1" s="1"/>
  <c r="AA4" i="1"/>
  <c r="Z4" i="1" s="1"/>
  <c r="AA5" i="1"/>
  <c r="Z5" i="1" s="1"/>
  <c r="AA6" i="1"/>
  <c r="Z6" i="1" s="1"/>
  <c r="AA7" i="1"/>
  <c r="Z7" i="1" s="1"/>
  <c r="AA8" i="1"/>
  <c r="Z8" i="1" s="1"/>
  <c r="AA9" i="1"/>
  <c r="Z9" i="1" s="1"/>
  <c r="AA10" i="1"/>
  <c r="Z10" i="1" s="1"/>
  <c r="AA11" i="1"/>
  <c r="Y11" i="1" s="1"/>
  <c r="AA12" i="1"/>
  <c r="Z12" i="1" s="1"/>
  <c r="AA13" i="1"/>
  <c r="Z13" i="1" s="1"/>
  <c r="AA14" i="1"/>
  <c r="Z14" i="1" s="1"/>
  <c r="AA15" i="1"/>
  <c r="Z15" i="1" s="1"/>
  <c r="AA16" i="1"/>
  <c r="Z16" i="1" s="1"/>
  <c r="AA17" i="1"/>
  <c r="Z17" i="1" s="1"/>
  <c r="AA18" i="1"/>
  <c r="Z18" i="1" s="1"/>
  <c r="AA19" i="1"/>
  <c r="Y19" i="1" s="1"/>
  <c r="AA20" i="1"/>
  <c r="Z20" i="1" s="1"/>
  <c r="AA21" i="1"/>
  <c r="Z21" i="1" s="1"/>
  <c r="AA22" i="1"/>
  <c r="Z22" i="1" s="1"/>
  <c r="AA23" i="1"/>
  <c r="Z23" i="1" s="1"/>
  <c r="AA24" i="1"/>
  <c r="Z24" i="1" s="1"/>
  <c r="AA25" i="1"/>
  <c r="Z25" i="1" s="1"/>
  <c r="AA26" i="1"/>
  <c r="Z26" i="1" s="1"/>
  <c r="AA27" i="1"/>
  <c r="Y27" i="1" s="1"/>
  <c r="AA28" i="1"/>
  <c r="Z28" i="1" s="1"/>
  <c r="AA29" i="1"/>
  <c r="Z29" i="1" s="1"/>
  <c r="AA30" i="1"/>
  <c r="Z30" i="1" s="1"/>
  <c r="AA31" i="1"/>
  <c r="Z31" i="1" s="1"/>
  <c r="AA32" i="1"/>
  <c r="Z32" i="1" s="1"/>
  <c r="AA33" i="1"/>
  <c r="Z33" i="1" s="1"/>
  <c r="AA34" i="1"/>
  <c r="Z34" i="1" s="1"/>
  <c r="AA35" i="1"/>
  <c r="Y35" i="1" s="1"/>
  <c r="AA36" i="1"/>
  <c r="Z36" i="1" s="1"/>
  <c r="AA37" i="1"/>
  <c r="Z37" i="1" s="1"/>
  <c r="AA38" i="1"/>
  <c r="Z38" i="1" s="1"/>
  <c r="AA39" i="1"/>
  <c r="Z39" i="1" s="1"/>
  <c r="AA40" i="1"/>
  <c r="Z40" i="1" s="1"/>
  <c r="AA41" i="1"/>
  <c r="Z41" i="1" s="1"/>
  <c r="AA42" i="1"/>
  <c r="Z42" i="1" s="1"/>
  <c r="AA43" i="1"/>
  <c r="Y43" i="1" s="1"/>
  <c r="AA44" i="1"/>
  <c r="Z44" i="1" s="1"/>
  <c r="AA45" i="1"/>
  <c r="Z45" i="1" s="1"/>
  <c r="AA46" i="1"/>
  <c r="Z46" i="1" s="1"/>
  <c r="AA2" i="1"/>
  <c r="Z2" i="1" s="1"/>
  <c r="U3" i="1"/>
  <c r="S3" i="1" s="1"/>
  <c r="U4" i="1"/>
  <c r="T4" i="1" s="1"/>
  <c r="U5" i="1"/>
  <c r="S5" i="1" s="1"/>
  <c r="U6" i="1"/>
  <c r="S6" i="1" s="1"/>
  <c r="U7" i="1"/>
  <c r="S7" i="1" s="1"/>
  <c r="U8" i="1"/>
  <c r="T8" i="1" s="1"/>
  <c r="U9" i="1"/>
  <c r="S9" i="1" s="1"/>
  <c r="U10" i="1"/>
  <c r="S10" i="1" s="1"/>
  <c r="U11" i="1"/>
  <c r="S11" i="1" s="1"/>
  <c r="U12" i="1"/>
  <c r="T12" i="1" s="1"/>
  <c r="U13" i="1"/>
  <c r="S13" i="1" s="1"/>
  <c r="U14" i="1"/>
  <c r="S14" i="1" s="1"/>
  <c r="U15" i="1"/>
  <c r="S15" i="1" s="1"/>
  <c r="U16" i="1"/>
  <c r="T16" i="1" s="1"/>
  <c r="U17" i="1"/>
  <c r="S17" i="1" s="1"/>
  <c r="U18" i="1"/>
  <c r="S18" i="1" s="1"/>
  <c r="U19" i="1"/>
  <c r="S19" i="1" s="1"/>
  <c r="U20" i="1"/>
  <c r="T20" i="1" s="1"/>
  <c r="U21" i="1"/>
  <c r="S21" i="1" s="1"/>
  <c r="U22" i="1"/>
  <c r="S22" i="1" s="1"/>
  <c r="U23" i="1"/>
  <c r="S23" i="1" s="1"/>
  <c r="U24" i="1"/>
  <c r="T24" i="1" s="1"/>
  <c r="U25" i="1"/>
  <c r="S25" i="1" s="1"/>
  <c r="U26" i="1"/>
  <c r="S26" i="1" s="1"/>
  <c r="U27" i="1"/>
  <c r="S27" i="1" s="1"/>
  <c r="U28" i="1"/>
  <c r="T28" i="1" s="1"/>
  <c r="U29" i="1"/>
  <c r="S29" i="1" s="1"/>
  <c r="U30" i="1"/>
  <c r="S30" i="1" s="1"/>
  <c r="U31" i="1"/>
  <c r="S31" i="1" s="1"/>
  <c r="U32" i="1"/>
  <c r="T32" i="1" s="1"/>
  <c r="U33" i="1"/>
  <c r="S33" i="1" s="1"/>
  <c r="U34" i="1"/>
  <c r="S34" i="1" s="1"/>
  <c r="U35" i="1"/>
  <c r="S35" i="1" s="1"/>
  <c r="U36" i="1"/>
  <c r="S36" i="1" s="1"/>
  <c r="U37" i="1"/>
  <c r="S37" i="1" s="1"/>
  <c r="U38" i="1"/>
  <c r="S38" i="1" s="1"/>
  <c r="U39" i="1"/>
  <c r="S39" i="1" s="1"/>
  <c r="U40" i="1"/>
  <c r="T40" i="1" s="1"/>
  <c r="U41" i="1"/>
  <c r="S41" i="1" s="1"/>
  <c r="U42" i="1"/>
  <c r="S42" i="1" s="1"/>
  <c r="U43" i="1"/>
  <c r="S43" i="1" s="1"/>
  <c r="U44" i="1"/>
  <c r="S44" i="1" s="1"/>
  <c r="U45" i="1"/>
  <c r="S45" i="1" s="1"/>
  <c r="U46" i="1"/>
  <c r="S46" i="1" s="1"/>
  <c r="U2" i="1"/>
  <c r="T2" i="1" s="1"/>
  <c r="Y17" i="1" l="1"/>
  <c r="Y33" i="1"/>
  <c r="Y5" i="1"/>
  <c r="Y21" i="1"/>
  <c r="Y37" i="1"/>
  <c r="Y9" i="1"/>
  <c r="Y25" i="1"/>
  <c r="Y41" i="1"/>
  <c r="Y13" i="1"/>
  <c r="Y29" i="1"/>
  <c r="Y45" i="1"/>
  <c r="Y7" i="1"/>
  <c r="Y15" i="1"/>
  <c r="Y23" i="1"/>
  <c r="Y31" i="1"/>
  <c r="Y39" i="1"/>
  <c r="Z3" i="1"/>
  <c r="Z11" i="1"/>
  <c r="Z19" i="1"/>
  <c r="Z27" i="1"/>
  <c r="Z35" i="1"/>
  <c r="Z43" i="1"/>
  <c r="Y2" i="1"/>
  <c r="Y4" i="1"/>
  <c r="Y6" i="1"/>
  <c r="Y8" i="1"/>
  <c r="Y10" i="1"/>
  <c r="Y12" i="1"/>
  <c r="Y14" i="1"/>
  <c r="Y16" i="1"/>
  <c r="Y18" i="1"/>
  <c r="Y20" i="1"/>
  <c r="Y22" i="1"/>
  <c r="Y24" i="1"/>
  <c r="Y26" i="1"/>
  <c r="Y28" i="1"/>
  <c r="Y30" i="1"/>
  <c r="Y32" i="1"/>
  <c r="Y34" i="1"/>
  <c r="Y36" i="1"/>
  <c r="Y38" i="1"/>
  <c r="Y40" i="1"/>
  <c r="Y42" i="1"/>
  <c r="Y44" i="1"/>
  <c r="Y46" i="1"/>
  <c r="T34" i="1"/>
  <c r="T18" i="1"/>
  <c r="T46" i="1"/>
  <c r="T30" i="1"/>
  <c r="T14" i="1"/>
  <c r="T42" i="1"/>
  <c r="T26" i="1"/>
  <c r="T10" i="1"/>
  <c r="T38" i="1"/>
  <c r="T22" i="1"/>
  <c r="T6" i="1"/>
  <c r="T44" i="1"/>
  <c r="T36" i="1"/>
  <c r="S40" i="1"/>
  <c r="S32" i="1"/>
  <c r="S28" i="1"/>
  <c r="S24" i="1"/>
  <c r="S20" i="1"/>
  <c r="S16" i="1"/>
  <c r="S12" i="1"/>
  <c r="S8" i="1"/>
  <c r="S4" i="1"/>
  <c r="S2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T5" i="1"/>
  <c r="T3" i="1"/>
</calcChain>
</file>

<file path=xl/sharedStrings.xml><?xml version="1.0" encoding="utf-8"?>
<sst xmlns="http://schemas.openxmlformats.org/spreadsheetml/2006/main" count="173" uniqueCount="43">
  <si>
    <t>pk_n_fecha</t>
  </si>
  <si>
    <t>pk_fecha</t>
  </si>
  <si>
    <t>pk_tipo_medios</t>
  </si>
  <si>
    <t>pk_nombre_cola</t>
  </si>
  <si>
    <t>pk_nombre_division</t>
  </si>
  <si>
    <t>n_oferta</t>
  </si>
  <si>
    <t>n_contestadas</t>
  </si>
  <si>
    <t>n_abandonadas</t>
  </si>
  <si>
    <t>t_abandono</t>
  </si>
  <si>
    <t>ts_abandono</t>
  </si>
  <si>
    <t>nt_abandono</t>
  </si>
  <si>
    <t>t_asa</t>
  </si>
  <si>
    <t>ts_asa</t>
  </si>
  <si>
    <t>nt_asa</t>
  </si>
  <si>
    <t>n_contestados_en_umbral</t>
  </si>
  <si>
    <t>t_manejo_medio</t>
  </si>
  <si>
    <t>ts_manejo_medio</t>
  </si>
  <si>
    <t>nt_manejo_medio</t>
  </si>
  <si>
    <t>t_manejo_total</t>
  </si>
  <si>
    <t>ts_manejo_total</t>
  </si>
  <si>
    <t>nt_manejo_total</t>
  </si>
  <si>
    <t>t_conversacion_media</t>
  </si>
  <si>
    <t>ts_conversacion_media</t>
  </si>
  <si>
    <t>nt_conversacion_media</t>
  </si>
  <si>
    <t>t_conversacion_total</t>
  </si>
  <si>
    <t>ts_conversacion_total</t>
  </si>
  <si>
    <t>nt_conversacion_total</t>
  </si>
  <si>
    <t>t_retencion_total</t>
  </si>
  <si>
    <t>ts_retencion_total</t>
  </si>
  <si>
    <t>nt_retencion_total</t>
  </si>
  <si>
    <t>t_acw</t>
  </si>
  <si>
    <t>ts_acw</t>
  </si>
  <si>
    <t>nt_acw</t>
  </si>
  <si>
    <t>t_total_abandono</t>
  </si>
  <si>
    <t>ts_total_abandono</t>
  </si>
  <si>
    <t>nt_total_abandono</t>
  </si>
  <si>
    <t>n_abandono_rapido</t>
  </si>
  <si>
    <t>n_abandono_no_rapido</t>
  </si>
  <si>
    <t>voz</t>
  </si>
  <si>
    <t>101 - AULAPP - SOPORTE VOZ MESA DE SERVICIOS</t>
  </si>
  <si>
    <t>Aulapp</t>
  </si>
  <si>
    <t>102 - AULAPP - SOPORTE VOZ GESTION DOCUMENTAL</t>
  </si>
  <si>
    <t>103 - AULAPP - SOPORTE VOZ 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</si>
</sst>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40A4-7676-4E58-B1F5-73EE9BECB089}">
  <dimension ref="A1:AL46"/>
  <sheetViews>
    <sheetView tabSelected="1" workbookViewId="0"/>
  </sheetViews>
  <sheetFormatPr defaultColWidth="11.42578125" defaultRowHeight="15"/>
  <cols>
    <col min="2" max="2" width="11.42578125" style="3"/>
  </cols>
  <sheetData>
    <row r="1" spans="1:38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tr">
        <f>TEXT(B2,"yyyymmdd")</f>
        <v>20240717</v>
      </c>
      <c r="B2" s="2">
        <v>45490</v>
      </c>
      <c r="C2" s="1" t="s">
        <v>38</v>
      </c>
      <c r="D2" s="1" t="s">
        <v>39</v>
      </c>
      <c r="E2" s="1" t="s">
        <v>40</v>
      </c>
      <c r="F2" s="1">
        <v>56</v>
      </c>
      <c r="G2" s="1">
        <v>51</v>
      </c>
      <c r="H2" s="1">
        <v>5</v>
      </c>
      <c r="I2" s="1" t="str">
        <f>TEXT(K2,"hh:mm:ss")</f>
        <v>00:03:09</v>
      </c>
      <c r="J2" s="1">
        <f>K2*86400</f>
        <v>189.00000000000003</v>
      </c>
      <c r="K2" s="1">
        <v>2.1875000000000002E-3</v>
      </c>
      <c r="L2" s="1" t="str">
        <f>TEXT(N2,"hh:mm:ss")</f>
        <v>00:00:13</v>
      </c>
      <c r="M2" s="1">
        <f>N2*86400</f>
        <v>13.000000000000002</v>
      </c>
      <c r="N2" s="1">
        <v>1.5046296296296297E-4</v>
      </c>
      <c r="O2" s="1">
        <v>45.999999999999972</v>
      </c>
      <c r="P2" s="1" t="str">
        <f>TEXT(R2,"hh:mm:ss")</f>
        <v>00:07:15</v>
      </c>
      <c r="Q2" s="1">
        <f>R2*86400</f>
        <v>435</v>
      </c>
      <c r="R2" s="1">
        <v>5.0347222222222225E-3</v>
      </c>
      <c r="S2" s="1" t="str">
        <f>TEXT(U2,"hh:mm:ss")</f>
        <v>06:09:45</v>
      </c>
      <c r="T2" s="1">
        <f>U2*86400</f>
        <v>22185</v>
      </c>
      <c r="U2" s="1">
        <f>R2*G2</f>
        <v>0.25677083333333334</v>
      </c>
      <c r="V2" s="1" t="str">
        <f>TEXT(X2,"hh:mm:ss")</f>
        <v>00:05:01</v>
      </c>
      <c r="W2" s="1">
        <f>X2*86400</f>
        <v>301</v>
      </c>
      <c r="X2" s="1">
        <v>3.4837962962962965E-3</v>
      </c>
      <c r="Y2" s="1" t="str">
        <f>TEXT(AA2,"hh:mm:ss")</f>
        <v>04:15:51</v>
      </c>
      <c r="Z2" s="1">
        <f>AA2*86400</f>
        <v>15351.000000000002</v>
      </c>
      <c r="AA2" s="1">
        <f>X2*G2</f>
        <v>0.17767361111111113</v>
      </c>
      <c r="AB2" s="1" t="str">
        <f>TEXT(AD2,"hh:mm:ss")</f>
        <v>01:24:56</v>
      </c>
      <c r="AC2" s="1">
        <f>AD2*86400</f>
        <v>5095.9999999999991</v>
      </c>
      <c r="AD2" s="1">
        <v>5.8981481481481475E-2</v>
      </c>
      <c r="AE2" s="1" t="str">
        <f>TEXT(AG2,"hh:mm:ss")</f>
        <v>00:28:54</v>
      </c>
      <c r="AF2" s="1">
        <f>AG2*86400</f>
        <v>1734</v>
      </c>
      <c r="AG2" s="1">
        <v>2.0069444444444445E-2</v>
      </c>
      <c r="AH2" s="1" t="str">
        <f>TEXT(AJ2,"hh:mm:ss")</f>
        <v>00:03:09</v>
      </c>
      <c r="AI2" s="1">
        <f>AJ2*86400</f>
        <v>189.00000000000003</v>
      </c>
      <c r="AJ2" s="1">
        <v>2.1875000000000002E-3</v>
      </c>
      <c r="AK2" s="1">
        <v>0</v>
      </c>
      <c r="AL2" s="1">
        <v>0</v>
      </c>
    </row>
    <row r="3" spans="1:38">
      <c r="A3" t="str">
        <f t="shared" ref="A3:A46" si="0">TEXT(B3,"yyyymmdd")</f>
        <v>20240717</v>
      </c>
      <c r="B3" s="2">
        <v>45490</v>
      </c>
      <c r="C3" s="1" t="s">
        <v>38</v>
      </c>
      <c r="D3" s="1" t="s">
        <v>41</v>
      </c>
      <c r="E3" s="1" t="s">
        <v>40</v>
      </c>
      <c r="F3" s="1">
        <v>42</v>
      </c>
      <c r="G3" s="1">
        <v>41</v>
      </c>
      <c r="H3" s="1">
        <v>1</v>
      </c>
      <c r="I3" s="1" t="str">
        <f t="shared" ref="I3:I46" si="1">TEXT(K3,"hh:mm:ss")</f>
        <v>00:00:04</v>
      </c>
      <c r="J3" s="1">
        <f t="shared" ref="J3:J46" si="2">K3*86400</f>
        <v>4</v>
      </c>
      <c r="K3" s="1">
        <v>4.6296296296296294E-5</v>
      </c>
      <c r="L3" s="1" t="str">
        <f t="shared" ref="L3:L46" si="3">TEXT(N3,"hh:mm:ss")</f>
        <v>00:00:43</v>
      </c>
      <c r="M3" s="1">
        <f t="shared" ref="M3:M46" si="4">N3*86400</f>
        <v>43</v>
      </c>
      <c r="N3" s="1">
        <v>4.9768518518518521E-4</v>
      </c>
      <c r="O3" s="1">
        <v>33.999999999999979</v>
      </c>
      <c r="P3" s="1" t="str">
        <f t="shared" ref="P3:P46" si="5">TEXT(R3,"hh:mm:ss")</f>
        <v>00:09:43</v>
      </c>
      <c r="Q3" s="1">
        <f t="shared" ref="Q3:Q46" si="6">R3*86400</f>
        <v>583</v>
      </c>
      <c r="R3" s="1">
        <v>6.7476851851851856E-3</v>
      </c>
      <c r="S3" s="1" t="str">
        <f t="shared" ref="S3:S46" si="7">TEXT(U3,"hh:mm:ss")</f>
        <v>06:38:23</v>
      </c>
      <c r="T3" s="1">
        <f t="shared" ref="T3:T46" si="8">U3*86400</f>
        <v>23903.000000000004</v>
      </c>
      <c r="U3" s="1">
        <f t="shared" ref="U3:U46" si="9">R3*G3</f>
        <v>0.27665509259259263</v>
      </c>
      <c r="V3" s="1" t="str">
        <f t="shared" ref="V3:V46" si="10">TEXT(X3,"hh:mm:ss")</f>
        <v>00:06:01</v>
      </c>
      <c r="W3" s="1">
        <f t="shared" ref="W3:W46" si="11">X3*86400</f>
        <v>361</v>
      </c>
      <c r="X3" s="1">
        <v>4.178240740740741E-3</v>
      </c>
      <c r="Y3" s="1" t="str">
        <f t="shared" ref="Y3:Y46" si="12">TEXT(AA3,"hh:mm:ss")</f>
        <v>04:06:41</v>
      </c>
      <c r="Z3" s="1">
        <f t="shared" ref="Z3:Z46" si="13">AA3*86400</f>
        <v>14801</v>
      </c>
      <c r="AA3" s="1">
        <f t="shared" ref="AA3:AA46" si="14">X3*G3</f>
        <v>0.17130787037037037</v>
      </c>
      <c r="AB3" s="1" t="str">
        <f t="shared" ref="AB3:AB46" si="15">TEXT(AD3,"hh:mm:ss")</f>
        <v>02:01:36</v>
      </c>
      <c r="AC3" s="1">
        <f t="shared" ref="AC3:AC46" si="16">AD3*86400</f>
        <v>7296</v>
      </c>
      <c r="AD3" s="1">
        <v>8.4444444444444447E-2</v>
      </c>
      <c r="AE3" s="1" t="str">
        <f t="shared" ref="AE3:AE46" si="17">TEXT(AG3,"hh:mm:ss")</f>
        <v>00:30:04</v>
      </c>
      <c r="AF3" s="1">
        <f t="shared" ref="AF3:AF46" si="18">AG3*86400</f>
        <v>1803.9999999999998</v>
      </c>
      <c r="AG3" s="1">
        <v>2.0879629629629626E-2</v>
      </c>
      <c r="AH3" s="1" t="str">
        <f t="shared" ref="AH3:AH46" si="19">TEXT(AJ3,"hh:mm:ss")</f>
        <v>00:00:04</v>
      </c>
      <c r="AI3" s="1">
        <f t="shared" ref="AI3:AI46" si="20">AJ3*86400</f>
        <v>4</v>
      </c>
      <c r="AJ3" s="1">
        <v>4.6296296296296294E-5</v>
      </c>
      <c r="AK3" s="1">
        <v>0</v>
      </c>
      <c r="AL3" s="1">
        <v>0</v>
      </c>
    </row>
    <row r="4" spans="1:38">
      <c r="A4" t="str">
        <f t="shared" si="0"/>
        <v>20240717</v>
      </c>
      <c r="B4" s="2">
        <v>45490</v>
      </c>
      <c r="C4" s="1" t="s">
        <v>38</v>
      </c>
      <c r="D4" s="1" t="s">
        <v>42</v>
      </c>
      <c r="E4" s="1" t="s">
        <v>40</v>
      </c>
      <c r="F4" s="1">
        <v>181</v>
      </c>
      <c r="G4" s="1">
        <v>180</v>
      </c>
      <c r="H4" s="1">
        <v>1</v>
      </c>
      <c r="I4" s="1" t="str">
        <f t="shared" si="1"/>
        <v>00:00:39</v>
      </c>
      <c r="J4" s="1">
        <f t="shared" si="2"/>
        <v>39</v>
      </c>
      <c r="K4" s="1">
        <v>4.5138888888888887E-4</v>
      </c>
      <c r="L4" s="1" t="str">
        <f t="shared" si="3"/>
        <v>00:00:22</v>
      </c>
      <c r="M4" s="1">
        <f t="shared" si="4"/>
        <v>21.999999999999996</v>
      </c>
      <c r="N4" s="1">
        <v>2.5462962962962961E-4</v>
      </c>
      <c r="O4" s="1">
        <v>156</v>
      </c>
      <c r="P4" s="1" t="str">
        <f t="shared" si="5"/>
        <v>00:10:29</v>
      </c>
      <c r="Q4" s="1">
        <f t="shared" si="6"/>
        <v>629</v>
      </c>
      <c r="R4" s="1">
        <v>7.2800925925925923E-3</v>
      </c>
      <c r="S4" s="1" t="str">
        <f t="shared" si="7"/>
        <v>07:27:00</v>
      </c>
      <c r="T4" s="1">
        <f t="shared" si="8"/>
        <v>113219.99999999999</v>
      </c>
      <c r="U4" s="1">
        <f t="shared" si="9"/>
        <v>1.3104166666666666</v>
      </c>
      <c r="V4" s="1" t="str">
        <f t="shared" si="10"/>
        <v>00:07:03</v>
      </c>
      <c r="W4" s="1">
        <f t="shared" si="11"/>
        <v>423</v>
      </c>
      <c r="X4" s="1">
        <v>4.8958333333333336E-3</v>
      </c>
      <c r="Y4" s="1" t="str">
        <f t="shared" si="12"/>
        <v>21:09:00</v>
      </c>
      <c r="Z4" s="1">
        <f t="shared" si="13"/>
        <v>76140.000000000015</v>
      </c>
      <c r="AA4" s="1">
        <f t="shared" si="14"/>
        <v>0.88125000000000009</v>
      </c>
      <c r="AB4" s="1" t="str">
        <f t="shared" si="15"/>
        <v>08:18:10</v>
      </c>
      <c r="AC4" s="1">
        <f t="shared" si="16"/>
        <v>29890.000000000004</v>
      </c>
      <c r="AD4" s="1">
        <v>0.3459490740740741</v>
      </c>
      <c r="AE4" s="1" t="str">
        <f t="shared" si="17"/>
        <v>02:03:00</v>
      </c>
      <c r="AF4" s="1">
        <f t="shared" si="18"/>
        <v>7380</v>
      </c>
      <c r="AG4" s="1">
        <v>8.5416666666666669E-2</v>
      </c>
      <c r="AH4" s="1" t="str">
        <f t="shared" si="19"/>
        <v>00:00:39</v>
      </c>
      <c r="AI4" s="1">
        <f t="shared" si="20"/>
        <v>39</v>
      </c>
      <c r="AJ4" s="1">
        <v>4.5138888888888887E-4</v>
      </c>
      <c r="AK4" s="1">
        <v>0</v>
      </c>
      <c r="AL4" s="1">
        <v>0</v>
      </c>
    </row>
    <row r="5" spans="1:38">
      <c r="A5" t="str">
        <f t="shared" si="0"/>
        <v>20240718</v>
      </c>
      <c r="B5" s="2">
        <v>45491</v>
      </c>
      <c r="C5" s="1" t="s">
        <v>38</v>
      </c>
      <c r="D5" s="1" t="s">
        <v>39</v>
      </c>
      <c r="E5" s="1" t="s">
        <v>40</v>
      </c>
      <c r="F5" s="1">
        <v>64</v>
      </c>
      <c r="G5" s="1">
        <v>62</v>
      </c>
      <c r="H5" s="1">
        <v>2</v>
      </c>
      <c r="I5" s="1" t="str">
        <f t="shared" si="1"/>
        <v>00:00:36</v>
      </c>
      <c r="J5" s="1">
        <f t="shared" si="2"/>
        <v>36</v>
      </c>
      <c r="K5" s="1">
        <v>4.1666666666666669E-4</v>
      </c>
      <c r="L5" s="1" t="str">
        <f t="shared" si="3"/>
        <v>00:00:25</v>
      </c>
      <c r="M5" s="1">
        <f t="shared" si="4"/>
        <v>25</v>
      </c>
      <c r="N5" s="1">
        <v>2.8935185185185184E-4</v>
      </c>
      <c r="O5" s="1">
        <v>54</v>
      </c>
      <c r="P5" s="1" t="str">
        <f t="shared" si="5"/>
        <v>00:07:26</v>
      </c>
      <c r="Q5" s="1">
        <f t="shared" si="6"/>
        <v>446</v>
      </c>
      <c r="R5" s="1">
        <v>5.162037037037037E-3</v>
      </c>
      <c r="S5" s="1" t="str">
        <f t="shared" si="7"/>
        <v>07:40:52</v>
      </c>
      <c r="T5" s="1">
        <f t="shared" si="8"/>
        <v>27651.999999999996</v>
      </c>
      <c r="U5" s="1">
        <f t="shared" si="9"/>
        <v>0.32004629629629627</v>
      </c>
      <c r="V5" s="1" t="str">
        <f t="shared" si="10"/>
        <v>00:06:05</v>
      </c>
      <c r="W5" s="1">
        <f t="shared" si="11"/>
        <v>365</v>
      </c>
      <c r="X5" s="1">
        <v>4.2245370370370371E-3</v>
      </c>
      <c r="Y5" s="1" t="str">
        <f t="shared" si="12"/>
        <v>06:17:10</v>
      </c>
      <c r="Z5" s="1">
        <f t="shared" si="13"/>
        <v>22630</v>
      </c>
      <c r="AA5" s="1">
        <f t="shared" si="14"/>
        <v>0.26192129629629629</v>
      </c>
      <c r="AB5" s="1" t="str">
        <f t="shared" si="15"/>
        <v>01:44:00</v>
      </c>
      <c r="AC5" s="1">
        <f t="shared" si="16"/>
        <v>6239.9999999999991</v>
      </c>
      <c r="AD5" s="1">
        <v>7.2222222222222215E-2</v>
      </c>
      <c r="AE5" s="1" t="str">
        <f t="shared" si="17"/>
        <v>00:37:12</v>
      </c>
      <c r="AF5" s="1">
        <f t="shared" si="18"/>
        <v>2232.0000000000005</v>
      </c>
      <c r="AG5" s="1">
        <v>2.5833333333333337E-2</v>
      </c>
      <c r="AH5" s="1" t="str">
        <f t="shared" si="19"/>
        <v>00:00:36</v>
      </c>
      <c r="AI5" s="1">
        <f t="shared" si="20"/>
        <v>36</v>
      </c>
      <c r="AJ5" s="1">
        <v>4.1666666666666669E-4</v>
      </c>
      <c r="AK5" s="1">
        <v>0</v>
      </c>
      <c r="AL5" s="1">
        <v>0</v>
      </c>
    </row>
    <row r="6" spans="1:38">
      <c r="A6" t="str">
        <f t="shared" si="0"/>
        <v>20240718</v>
      </c>
      <c r="B6" s="2">
        <v>45491</v>
      </c>
      <c r="C6" s="1" t="s">
        <v>38</v>
      </c>
      <c r="D6" s="1" t="s">
        <v>41</v>
      </c>
      <c r="E6" s="1" t="s">
        <v>40</v>
      </c>
      <c r="F6" s="1">
        <v>41</v>
      </c>
      <c r="G6" s="1">
        <v>41</v>
      </c>
      <c r="H6" s="1">
        <v>0</v>
      </c>
      <c r="I6" s="1" t="str">
        <f t="shared" si="1"/>
        <v>00:00:00</v>
      </c>
      <c r="J6" s="1">
        <f t="shared" si="2"/>
        <v>0</v>
      </c>
      <c r="K6" s="1">
        <v>0</v>
      </c>
      <c r="L6" s="1" t="str">
        <f t="shared" si="3"/>
        <v>00:00:14</v>
      </c>
      <c r="M6" s="1">
        <f t="shared" si="4"/>
        <v>14</v>
      </c>
      <c r="N6" s="1">
        <v>1.6203703703703703E-4</v>
      </c>
      <c r="O6" s="1">
        <v>35.999999999999964</v>
      </c>
      <c r="P6" s="1" t="str">
        <f t="shared" si="5"/>
        <v>00:08:15</v>
      </c>
      <c r="Q6" s="1">
        <f t="shared" si="6"/>
        <v>494.99999999999994</v>
      </c>
      <c r="R6" s="1">
        <v>5.7291666666666663E-3</v>
      </c>
      <c r="S6" s="1" t="str">
        <f t="shared" si="7"/>
        <v>05:38:15</v>
      </c>
      <c r="T6" s="1">
        <f t="shared" si="8"/>
        <v>20294.999999999996</v>
      </c>
      <c r="U6" s="1">
        <f t="shared" si="9"/>
        <v>0.2348958333333333</v>
      </c>
      <c r="V6" s="1" t="str">
        <f t="shared" si="10"/>
        <v>00:06:02</v>
      </c>
      <c r="W6" s="1">
        <f t="shared" si="11"/>
        <v>362</v>
      </c>
      <c r="X6" s="1">
        <v>4.1898148148148146E-3</v>
      </c>
      <c r="Y6" s="1" t="str">
        <f t="shared" si="12"/>
        <v>04:07:22</v>
      </c>
      <c r="Z6" s="1">
        <f t="shared" si="13"/>
        <v>14842</v>
      </c>
      <c r="AA6" s="1">
        <f t="shared" si="14"/>
        <v>0.17178240740740741</v>
      </c>
      <c r="AB6" s="1" t="str">
        <f t="shared" si="15"/>
        <v>01:01:15</v>
      </c>
      <c r="AC6" s="1">
        <f t="shared" si="16"/>
        <v>3674.9999999999995</v>
      </c>
      <c r="AD6" s="1">
        <v>4.2534722222222217E-2</v>
      </c>
      <c r="AE6" s="1" t="str">
        <f t="shared" si="17"/>
        <v>00:29:23</v>
      </c>
      <c r="AF6" s="1">
        <f t="shared" si="18"/>
        <v>1763</v>
      </c>
      <c r="AG6" s="1">
        <v>2.0405092592592593E-2</v>
      </c>
      <c r="AH6" s="1" t="str">
        <f t="shared" si="19"/>
        <v>00:00:00</v>
      </c>
      <c r="AI6" s="1">
        <f t="shared" si="20"/>
        <v>0</v>
      </c>
      <c r="AJ6" s="1">
        <v>0</v>
      </c>
      <c r="AK6" s="1">
        <v>0</v>
      </c>
      <c r="AL6" s="1">
        <v>0</v>
      </c>
    </row>
    <row r="7" spans="1:38">
      <c r="A7" t="str">
        <f t="shared" si="0"/>
        <v>20240718</v>
      </c>
      <c r="B7" s="2">
        <v>45491</v>
      </c>
      <c r="C7" s="1" t="s">
        <v>38</v>
      </c>
      <c r="D7" s="1" t="s">
        <v>42</v>
      </c>
      <c r="E7" s="1" t="s">
        <v>40</v>
      </c>
      <c r="F7" s="1">
        <v>169</v>
      </c>
      <c r="G7" s="1">
        <v>166</v>
      </c>
      <c r="H7" s="1">
        <v>3</v>
      </c>
      <c r="I7" s="1" t="str">
        <f t="shared" si="1"/>
        <v>00:02:02</v>
      </c>
      <c r="J7" s="1">
        <f t="shared" si="2"/>
        <v>121.99999999999999</v>
      </c>
      <c r="K7" s="1">
        <v>1.4120370370370369E-3</v>
      </c>
      <c r="L7" s="1" t="str">
        <f t="shared" si="3"/>
        <v>00:00:18</v>
      </c>
      <c r="M7" s="1">
        <f t="shared" si="4"/>
        <v>18</v>
      </c>
      <c r="N7" s="1">
        <v>2.0833333333333335E-4</v>
      </c>
      <c r="O7" s="1">
        <v>147.99999999999997</v>
      </c>
      <c r="P7" s="1" t="str">
        <f t="shared" si="5"/>
        <v>00:12:15</v>
      </c>
      <c r="Q7" s="1">
        <f t="shared" si="6"/>
        <v>734.99999999999989</v>
      </c>
      <c r="R7" s="1">
        <v>8.5069444444444437E-3</v>
      </c>
      <c r="S7" s="1" t="str">
        <f t="shared" si="7"/>
        <v>09:53:30</v>
      </c>
      <c r="T7" s="1">
        <f t="shared" si="8"/>
        <v>122009.99999999999</v>
      </c>
      <c r="U7" s="1">
        <f t="shared" si="9"/>
        <v>1.4121527777777776</v>
      </c>
      <c r="V7" s="1" t="str">
        <f t="shared" si="10"/>
        <v>00:08:50</v>
      </c>
      <c r="W7" s="1">
        <f t="shared" si="11"/>
        <v>530</v>
      </c>
      <c r="X7" s="1">
        <v>6.1342592592592594E-3</v>
      </c>
      <c r="Y7" s="1" t="str">
        <f t="shared" si="12"/>
        <v>00:26:20</v>
      </c>
      <c r="Z7" s="1">
        <f t="shared" si="13"/>
        <v>87980.000000000015</v>
      </c>
      <c r="AA7" s="1">
        <f t="shared" si="14"/>
        <v>1.0182870370370372</v>
      </c>
      <c r="AB7" s="1" t="str">
        <f t="shared" si="15"/>
        <v>07:32:16</v>
      </c>
      <c r="AC7" s="1">
        <f t="shared" si="16"/>
        <v>27136</v>
      </c>
      <c r="AD7" s="1">
        <v>0.31407407407407406</v>
      </c>
      <c r="AE7" s="1" t="str">
        <f t="shared" si="17"/>
        <v>01:53:26</v>
      </c>
      <c r="AF7" s="1">
        <f t="shared" si="18"/>
        <v>6806</v>
      </c>
      <c r="AG7" s="1">
        <v>7.8773148148148148E-2</v>
      </c>
      <c r="AH7" s="1" t="str">
        <f t="shared" si="19"/>
        <v>00:02:02</v>
      </c>
      <c r="AI7" s="1">
        <f t="shared" si="20"/>
        <v>121.99999999999999</v>
      </c>
      <c r="AJ7" s="1">
        <v>1.4120370370370369E-3</v>
      </c>
      <c r="AK7" s="1">
        <v>0</v>
      </c>
      <c r="AL7" s="1">
        <v>0</v>
      </c>
    </row>
    <row r="8" spans="1:38">
      <c r="A8" t="str">
        <f t="shared" si="0"/>
        <v>20240719</v>
      </c>
      <c r="B8" s="2">
        <v>45492</v>
      </c>
      <c r="C8" s="1" t="s">
        <v>38</v>
      </c>
      <c r="D8" s="1" t="s">
        <v>39</v>
      </c>
      <c r="E8" s="1" t="s">
        <v>40</v>
      </c>
      <c r="F8" s="1">
        <v>56</v>
      </c>
      <c r="G8" s="1">
        <v>53</v>
      </c>
      <c r="H8" s="1">
        <v>3</v>
      </c>
      <c r="I8" s="1" t="str">
        <f t="shared" si="1"/>
        <v>00:01:44</v>
      </c>
      <c r="J8" s="1">
        <f t="shared" si="2"/>
        <v>104.00000000000001</v>
      </c>
      <c r="K8" s="1">
        <v>1.2037037037037038E-3</v>
      </c>
      <c r="L8" s="1" t="str">
        <f t="shared" si="3"/>
        <v>00:00:20</v>
      </c>
      <c r="M8" s="1">
        <f t="shared" si="4"/>
        <v>20</v>
      </c>
      <c r="N8" s="1">
        <v>2.3148148148148149E-4</v>
      </c>
      <c r="O8" s="1">
        <v>47.999999999999993</v>
      </c>
      <c r="P8" s="1" t="str">
        <f t="shared" si="5"/>
        <v>00:06:00</v>
      </c>
      <c r="Q8" s="1">
        <f t="shared" si="6"/>
        <v>360</v>
      </c>
      <c r="R8" s="1">
        <v>4.1666666666666666E-3</v>
      </c>
      <c r="S8" s="1" t="str">
        <f t="shared" si="7"/>
        <v>05:18:00</v>
      </c>
      <c r="T8" s="1">
        <f t="shared" si="8"/>
        <v>19080</v>
      </c>
      <c r="U8" s="1">
        <f t="shared" si="9"/>
        <v>0.22083333333333333</v>
      </c>
      <c r="V8" s="1" t="str">
        <f t="shared" si="10"/>
        <v>00:04:46</v>
      </c>
      <c r="W8" s="1">
        <f t="shared" si="11"/>
        <v>286</v>
      </c>
      <c r="X8" s="1">
        <v>3.3101851851851851E-3</v>
      </c>
      <c r="Y8" s="1" t="str">
        <f t="shared" si="12"/>
        <v>04:12:38</v>
      </c>
      <c r="Z8" s="1">
        <f t="shared" si="13"/>
        <v>15157.999999999998</v>
      </c>
      <c r="AA8" s="1">
        <f t="shared" si="14"/>
        <v>0.1754398148148148</v>
      </c>
      <c r="AB8" s="1" t="str">
        <f t="shared" si="15"/>
        <v>01:13:20</v>
      </c>
      <c r="AC8" s="1">
        <f t="shared" si="16"/>
        <v>4400</v>
      </c>
      <c r="AD8" s="1">
        <v>5.0925925925925923E-2</v>
      </c>
      <c r="AE8" s="1" t="str">
        <f t="shared" si="17"/>
        <v>00:32:41</v>
      </c>
      <c r="AF8" s="1">
        <f t="shared" si="18"/>
        <v>1961</v>
      </c>
      <c r="AG8" s="1">
        <v>2.269675925925926E-2</v>
      </c>
      <c r="AH8" s="1" t="str">
        <f t="shared" si="19"/>
        <v>00:01:44</v>
      </c>
      <c r="AI8" s="1">
        <f t="shared" si="20"/>
        <v>104.00000000000001</v>
      </c>
      <c r="AJ8" s="1">
        <v>1.2037037037037038E-3</v>
      </c>
      <c r="AK8" s="1">
        <v>0</v>
      </c>
      <c r="AL8" s="1">
        <v>0</v>
      </c>
    </row>
    <row r="9" spans="1:38">
      <c r="A9" t="str">
        <f t="shared" si="0"/>
        <v>20240719</v>
      </c>
      <c r="B9" s="2">
        <v>45492</v>
      </c>
      <c r="C9" s="1" t="s">
        <v>38</v>
      </c>
      <c r="D9" s="1" t="s">
        <v>41</v>
      </c>
      <c r="E9" s="1" t="s">
        <v>40</v>
      </c>
      <c r="F9" s="1">
        <v>36</v>
      </c>
      <c r="G9" s="1">
        <v>34</v>
      </c>
      <c r="H9" s="1">
        <v>2</v>
      </c>
      <c r="I9" s="1" t="str">
        <f t="shared" si="1"/>
        <v>00:01:26</v>
      </c>
      <c r="J9" s="1">
        <f t="shared" si="2"/>
        <v>86</v>
      </c>
      <c r="K9" s="1">
        <v>9.9537037037037042E-4</v>
      </c>
      <c r="L9" s="1" t="str">
        <f t="shared" si="3"/>
        <v>00:00:52</v>
      </c>
      <c r="M9" s="1">
        <f t="shared" si="4"/>
        <v>52.000000000000007</v>
      </c>
      <c r="N9" s="1">
        <v>6.018518518518519E-4</v>
      </c>
      <c r="O9" s="1">
        <v>27</v>
      </c>
      <c r="P9" s="1" t="str">
        <f t="shared" si="5"/>
        <v>00:10:11</v>
      </c>
      <c r="Q9" s="1">
        <f t="shared" si="6"/>
        <v>611</v>
      </c>
      <c r="R9" s="1">
        <v>7.0717592592592594E-3</v>
      </c>
      <c r="S9" s="1" t="str">
        <f t="shared" si="7"/>
        <v>05:46:14</v>
      </c>
      <c r="T9" s="1">
        <f t="shared" si="8"/>
        <v>20774</v>
      </c>
      <c r="U9" s="1">
        <f t="shared" si="9"/>
        <v>0.24043981481481483</v>
      </c>
      <c r="V9" s="1" t="str">
        <f t="shared" si="10"/>
        <v>00:07:31</v>
      </c>
      <c r="W9" s="1">
        <f t="shared" si="11"/>
        <v>451</v>
      </c>
      <c r="X9" s="1">
        <v>5.2199074074074075E-3</v>
      </c>
      <c r="Y9" s="1" t="str">
        <f t="shared" si="12"/>
        <v>04:15:34</v>
      </c>
      <c r="Z9" s="1">
        <f t="shared" si="13"/>
        <v>15334</v>
      </c>
      <c r="AA9" s="1">
        <f t="shared" si="14"/>
        <v>0.17747685185185186</v>
      </c>
      <c r="AB9" s="1" t="str">
        <f t="shared" si="15"/>
        <v>01:05:38</v>
      </c>
      <c r="AC9" s="1">
        <f t="shared" si="16"/>
        <v>3938</v>
      </c>
      <c r="AD9" s="1">
        <v>4.5578703703703705E-2</v>
      </c>
      <c r="AE9" s="1" t="str">
        <f t="shared" si="17"/>
        <v>00:24:56</v>
      </c>
      <c r="AF9" s="1">
        <f t="shared" si="18"/>
        <v>1496</v>
      </c>
      <c r="AG9" s="1">
        <v>1.7314814814814814E-2</v>
      </c>
      <c r="AH9" s="1" t="str">
        <f t="shared" si="19"/>
        <v>00:01:26</v>
      </c>
      <c r="AI9" s="1">
        <f t="shared" si="20"/>
        <v>86</v>
      </c>
      <c r="AJ9" s="1">
        <v>9.9537037037037042E-4</v>
      </c>
      <c r="AK9" s="1">
        <v>0</v>
      </c>
      <c r="AL9" s="1">
        <v>0</v>
      </c>
    </row>
    <row r="10" spans="1:38">
      <c r="A10" t="str">
        <f t="shared" si="0"/>
        <v>20240719</v>
      </c>
      <c r="B10" s="2">
        <v>45492</v>
      </c>
      <c r="C10" s="1" t="s">
        <v>38</v>
      </c>
      <c r="D10" s="1" t="s">
        <v>42</v>
      </c>
      <c r="E10" s="1" t="s">
        <v>40</v>
      </c>
      <c r="F10" s="1">
        <v>191</v>
      </c>
      <c r="G10" s="1">
        <v>182</v>
      </c>
      <c r="H10" s="1">
        <v>9</v>
      </c>
      <c r="I10" s="1" t="str">
        <f t="shared" si="1"/>
        <v>00:02:32</v>
      </c>
      <c r="J10" s="1">
        <f t="shared" si="2"/>
        <v>152</v>
      </c>
      <c r="K10" s="1">
        <v>1.7592592592592592E-3</v>
      </c>
      <c r="L10" s="1" t="str">
        <f t="shared" si="3"/>
        <v>00:00:33</v>
      </c>
      <c r="M10" s="1">
        <f t="shared" si="4"/>
        <v>33</v>
      </c>
      <c r="N10" s="1">
        <v>3.8194444444444446E-4</v>
      </c>
      <c r="O10" s="1">
        <v>154</v>
      </c>
      <c r="P10" s="1" t="str">
        <f t="shared" si="5"/>
        <v>00:12:55</v>
      </c>
      <c r="Q10" s="1">
        <f t="shared" si="6"/>
        <v>775</v>
      </c>
      <c r="R10" s="1">
        <v>8.9699074074074073E-3</v>
      </c>
      <c r="S10" s="1" t="str">
        <f t="shared" si="7"/>
        <v>15:10:50</v>
      </c>
      <c r="T10" s="1">
        <f t="shared" si="8"/>
        <v>141050</v>
      </c>
      <c r="U10" s="1">
        <f t="shared" si="9"/>
        <v>1.6325231481481481</v>
      </c>
      <c r="V10" s="1" t="str">
        <f t="shared" si="10"/>
        <v>00:09:32</v>
      </c>
      <c r="W10" s="1">
        <f t="shared" si="11"/>
        <v>572</v>
      </c>
      <c r="X10" s="1">
        <v>6.6203703703703702E-3</v>
      </c>
      <c r="Y10" s="1" t="str">
        <f t="shared" si="12"/>
        <v>04:55:04</v>
      </c>
      <c r="Z10" s="1">
        <f t="shared" si="13"/>
        <v>104103.99999999999</v>
      </c>
      <c r="AA10" s="1">
        <f t="shared" si="14"/>
        <v>1.2049074074074073</v>
      </c>
      <c r="AB10" s="1" t="str">
        <f t="shared" si="15"/>
        <v>08:12:04</v>
      </c>
      <c r="AC10" s="1">
        <f t="shared" si="16"/>
        <v>29523.999999999996</v>
      </c>
      <c r="AD10" s="1">
        <v>0.34171296296296294</v>
      </c>
      <c r="AE10" s="1" t="str">
        <f t="shared" si="17"/>
        <v>02:04:22</v>
      </c>
      <c r="AF10" s="1">
        <f t="shared" si="18"/>
        <v>7462</v>
      </c>
      <c r="AG10" s="1">
        <v>8.6365740740740743E-2</v>
      </c>
      <c r="AH10" s="1" t="str">
        <f t="shared" si="19"/>
        <v>00:02:32</v>
      </c>
      <c r="AI10" s="1">
        <f t="shared" si="20"/>
        <v>152</v>
      </c>
      <c r="AJ10" s="1">
        <v>1.7592592592592592E-3</v>
      </c>
      <c r="AK10" s="1">
        <v>0</v>
      </c>
      <c r="AL10" s="1">
        <v>0</v>
      </c>
    </row>
    <row r="11" spans="1:38">
      <c r="A11" t="str">
        <f t="shared" si="0"/>
        <v>20240720</v>
      </c>
      <c r="B11" s="2">
        <v>45493</v>
      </c>
      <c r="C11" s="1" t="s">
        <v>38</v>
      </c>
      <c r="D11" s="1" t="s">
        <v>39</v>
      </c>
      <c r="E11" s="1" t="s">
        <v>40</v>
      </c>
      <c r="F11" s="1">
        <v>6</v>
      </c>
      <c r="G11" s="1">
        <v>6</v>
      </c>
      <c r="H11" s="1">
        <v>0</v>
      </c>
      <c r="I11" s="1" t="str">
        <f t="shared" si="1"/>
        <v>00:00:00</v>
      </c>
      <c r="J11" s="1">
        <f t="shared" si="2"/>
        <v>0</v>
      </c>
      <c r="K11" s="1">
        <v>0</v>
      </c>
      <c r="L11" s="1" t="str">
        <f t="shared" si="3"/>
        <v>00:00:02</v>
      </c>
      <c r="M11" s="1">
        <f t="shared" si="4"/>
        <v>2</v>
      </c>
      <c r="N11" s="1">
        <v>2.3148148148148147E-5</v>
      </c>
      <c r="O11" s="1">
        <v>6</v>
      </c>
      <c r="P11" s="1" t="str">
        <f t="shared" si="5"/>
        <v>00:04:17</v>
      </c>
      <c r="Q11" s="1">
        <f t="shared" si="6"/>
        <v>257</v>
      </c>
      <c r="R11" s="1">
        <v>2.9745370370370373E-3</v>
      </c>
      <c r="S11" s="1" t="str">
        <f t="shared" si="7"/>
        <v>00:25:42</v>
      </c>
      <c r="T11" s="1">
        <f t="shared" si="8"/>
        <v>1542</v>
      </c>
      <c r="U11" s="1">
        <f t="shared" si="9"/>
        <v>1.7847222222222223E-2</v>
      </c>
      <c r="V11" s="1" t="str">
        <f t="shared" si="10"/>
        <v>00:03:38</v>
      </c>
      <c r="W11" s="1">
        <f t="shared" si="11"/>
        <v>218</v>
      </c>
      <c r="X11" s="1">
        <v>2.5231481481481481E-3</v>
      </c>
      <c r="Y11" s="1" t="str">
        <f t="shared" si="12"/>
        <v>00:21:48</v>
      </c>
      <c r="Z11" s="1">
        <f t="shared" si="13"/>
        <v>1308</v>
      </c>
      <c r="AA11" s="1">
        <f t="shared" si="14"/>
        <v>1.5138888888888889E-2</v>
      </c>
      <c r="AB11" s="1" t="str">
        <f t="shared" si="15"/>
        <v>00:10:48</v>
      </c>
      <c r="AC11" s="1">
        <f t="shared" si="16"/>
        <v>648</v>
      </c>
      <c r="AD11" s="1">
        <v>7.4999999999999997E-3</v>
      </c>
      <c r="AE11" s="1" t="str">
        <f t="shared" si="17"/>
        <v>00:03:36</v>
      </c>
      <c r="AF11" s="1">
        <f t="shared" si="18"/>
        <v>216</v>
      </c>
      <c r="AG11" s="1">
        <v>2.5000000000000001E-3</v>
      </c>
      <c r="AH11" s="1" t="str">
        <f t="shared" si="19"/>
        <v>00:00:00</v>
      </c>
      <c r="AI11" s="1">
        <f t="shared" si="20"/>
        <v>0</v>
      </c>
      <c r="AJ11" s="1">
        <v>0</v>
      </c>
      <c r="AK11" s="1">
        <v>0</v>
      </c>
      <c r="AL11" s="1">
        <v>0</v>
      </c>
    </row>
    <row r="12" spans="1:38">
      <c r="A12" t="str">
        <f t="shared" si="0"/>
        <v>20240720</v>
      </c>
      <c r="B12" s="2">
        <v>45493</v>
      </c>
      <c r="C12" s="1" t="s">
        <v>38</v>
      </c>
      <c r="D12" s="1" t="s">
        <v>41</v>
      </c>
      <c r="E12" s="1" t="s">
        <v>40</v>
      </c>
      <c r="F12" s="1">
        <v>0</v>
      </c>
      <c r="G12" s="1">
        <v>0</v>
      </c>
      <c r="H12" s="1">
        <v>0</v>
      </c>
      <c r="I12" s="1" t="str">
        <f t="shared" si="1"/>
        <v>00:00:00</v>
      </c>
      <c r="J12" s="1">
        <f t="shared" si="2"/>
        <v>0</v>
      </c>
      <c r="K12" s="1">
        <v>0</v>
      </c>
      <c r="L12" s="1" t="str">
        <f t="shared" si="3"/>
        <v>00:00:00</v>
      </c>
      <c r="M12" s="1">
        <f t="shared" si="4"/>
        <v>0</v>
      </c>
      <c r="N12" s="1">
        <v>0</v>
      </c>
      <c r="O12" s="1">
        <v>0</v>
      </c>
      <c r="P12" s="1" t="str">
        <f t="shared" si="5"/>
        <v>00:00:00</v>
      </c>
      <c r="Q12" s="1">
        <f t="shared" si="6"/>
        <v>0</v>
      </c>
      <c r="R12" s="1">
        <v>0</v>
      </c>
      <c r="S12" s="1" t="str">
        <f t="shared" si="7"/>
        <v>00:00:00</v>
      </c>
      <c r="T12" s="1">
        <f t="shared" si="8"/>
        <v>0</v>
      </c>
      <c r="U12" s="1">
        <f t="shared" si="9"/>
        <v>0</v>
      </c>
      <c r="V12" s="1" t="str">
        <f t="shared" si="10"/>
        <v>00:00:00</v>
      </c>
      <c r="W12" s="1">
        <f t="shared" si="11"/>
        <v>0</v>
      </c>
      <c r="X12" s="1">
        <v>0</v>
      </c>
      <c r="Y12" s="1" t="str">
        <f t="shared" si="12"/>
        <v>00:00:00</v>
      </c>
      <c r="Z12" s="1">
        <f t="shared" si="13"/>
        <v>0</v>
      </c>
      <c r="AA12" s="1">
        <f t="shared" si="14"/>
        <v>0</v>
      </c>
      <c r="AB12" s="1" t="str">
        <f t="shared" si="15"/>
        <v>00:00:00</v>
      </c>
      <c r="AC12" s="1">
        <f t="shared" si="16"/>
        <v>0</v>
      </c>
      <c r="AD12" s="1">
        <v>0</v>
      </c>
      <c r="AE12" s="1" t="str">
        <f t="shared" si="17"/>
        <v>00:00:00</v>
      </c>
      <c r="AF12" s="1">
        <f t="shared" si="18"/>
        <v>0</v>
      </c>
      <c r="AG12" s="1">
        <v>0</v>
      </c>
      <c r="AH12" s="1" t="str">
        <f t="shared" si="19"/>
        <v>00:00:00</v>
      </c>
      <c r="AI12" s="1">
        <f t="shared" si="20"/>
        <v>0</v>
      </c>
      <c r="AJ12" s="1">
        <v>0</v>
      </c>
      <c r="AK12" s="1">
        <v>0</v>
      </c>
      <c r="AL12" s="1">
        <v>0</v>
      </c>
    </row>
    <row r="13" spans="1:38">
      <c r="A13" t="str">
        <f t="shared" si="0"/>
        <v>20240720</v>
      </c>
      <c r="B13" s="2">
        <v>45493</v>
      </c>
      <c r="C13" s="1" t="s">
        <v>38</v>
      </c>
      <c r="D13" s="1" t="s">
        <v>42</v>
      </c>
      <c r="E13" s="1" t="s">
        <v>40</v>
      </c>
      <c r="F13" s="1">
        <v>23</v>
      </c>
      <c r="G13" s="1">
        <v>23</v>
      </c>
      <c r="H13" s="1">
        <v>0</v>
      </c>
      <c r="I13" s="1" t="str">
        <f t="shared" si="1"/>
        <v>00:00:00</v>
      </c>
      <c r="J13" s="1">
        <f t="shared" si="2"/>
        <v>0</v>
      </c>
      <c r="K13" s="1">
        <v>0</v>
      </c>
      <c r="L13" s="1" t="str">
        <f t="shared" si="3"/>
        <v>00:00:03</v>
      </c>
      <c r="M13" s="1">
        <f t="shared" si="4"/>
        <v>3</v>
      </c>
      <c r="N13" s="1">
        <v>3.4722222222222222E-5</v>
      </c>
      <c r="O13" s="1">
        <v>23</v>
      </c>
      <c r="P13" s="1" t="str">
        <f t="shared" si="5"/>
        <v>00:08:54</v>
      </c>
      <c r="Q13" s="1">
        <f t="shared" si="6"/>
        <v>534</v>
      </c>
      <c r="R13" s="1">
        <v>6.1805555555555555E-3</v>
      </c>
      <c r="S13" s="1" t="str">
        <f t="shared" si="7"/>
        <v>03:24:42</v>
      </c>
      <c r="T13" s="1">
        <f t="shared" si="8"/>
        <v>12281.999999999998</v>
      </c>
      <c r="U13" s="1">
        <f t="shared" si="9"/>
        <v>0.14215277777777777</v>
      </c>
      <c r="V13" s="1" t="str">
        <f t="shared" si="10"/>
        <v>00:06:37</v>
      </c>
      <c r="W13" s="1">
        <f t="shared" si="11"/>
        <v>397.00000000000006</v>
      </c>
      <c r="X13" s="1">
        <v>4.5949074074074078E-3</v>
      </c>
      <c r="Y13" s="1" t="str">
        <f t="shared" si="12"/>
        <v>02:32:11</v>
      </c>
      <c r="Z13" s="1">
        <f t="shared" si="13"/>
        <v>9131.0000000000018</v>
      </c>
      <c r="AA13" s="1">
        <f t="shared" si="14"/>
        <v>0.10568287037037039</v>
      </c>
      <c r="AB13" s="1" t="str">
        <f t="shared" si="15"/>
        <v>00:37:10</v>
      </c>
      <c r="AC13" s="1">
        <f t="shared" si="16"/>
        <v>2230</v>
      </c>
      <c r="AD13" s="1">
        <v>2.5810185185185186E-2</v>
      </c>
      <c r="AE13" s="1" t="str">
        <f t="shared" si="17"/>
        <v>00:15:20</v>
      </c>
      <c r="AF13" s="1">
        <f t="shared" si="18"/>
        <v>920</v>
      </c>
      <c r="AG13" s="1">
        <v>1.0648148148148148E-2</v>
      </c>
      <c r="AH13" s="1" t="str">
        <f t="shared" si="19"/>
        <v>00:00:00</v>
      </c>
      <c r="AI13" s="1">
        <f t="shared" si="20"/>
        <v>0</v>
      </c>
      <c r="AJ13" s="1">
        <v>0</v>
      </c>
      <c r="AK13" s="1">
        <v>0</v>
      </c>
      <c r="AL13" s="1">
        <v>0</v>
      </c>
    </row>
    <row r="14" spans="1:38">
      <c r="A14" t="str">
        <f t="shared" si="0"/>
        <v>20240721</v>
      </c>
      <c r="B14" s="2">
        <v>45494</v>
      </c>
      <c r="C14" s="1" t="s">
        <v>38</v>
      </c>
      <c r="D14" s="1" t="s">
        <v>39</v>
      </c>
      <c r="E14" s="1" t="s">
        <v>40</v>
      </c>
      <c r="F14" s="1">
        <v>2</v>
      </c>
      <c r="G14" s="1">
        <v>2</v>
      </c>
      <c r="H14" s="1">
        <v>0</v>
      </c>
      <c r="I14" s="1" t="str">
        <f t="shared" si="1"/>
        <v>00:00:00</v>
      </c>
      <c r="J14" s="1">
        <f t="shared" si="2"/>
        <v>0</v>
      </c>
      <c r="K14" s="1">
        <v>0</v>
      </c>
      <c r="L14" s="1" t="str">
        <f t="shared" si="3"/>
        <v>00:00:02</v>
      </c>
      <c r="M14" s="1">
        <f t="shared" si="4"/>
        <v>2</v>
      </c>
      <c r="N14" s="1">
        <v>2.3148148148148147E-5</v>
      </c>
      <c r="O14" s="1">
        <v>2</v>
      </c>
      <c r="P14" s="1" t="str">
        <f t="shared" si="5"/>
        <v>00:03:26</v>
      </c>
      <c r="Q14" s="1">
        <f t="shared" si="6"/>
        <v>206</v>
      </c>
      <c r="R14" s="1">
        <v>2.3842592592592591E-3</v>
      </c>
      <c r="S14" s="1" t="str">
        <f t="shared" si="7"/>
        <v>00:06:52</v>
      </c>
      <c r="T14" s="1">
        <f t="shared" si="8"/>
        <v>412</v>
      </c>
      <c r="U14" s="1">
        <f t="shared" si="9"/>
        <v>4.7685185185185183E-3</v>
      </c>
      <c r="V14" s="1" t="str">
        <f t="shared" si="10"/>
        <v>00:03:01</v>
      </c>
      <c r="W14" s="1">
        <f t="shared" si="11"/>
        <v>181</v>
      </c>
      <c r="X14" s="1">
        <v>2.0949074074074073E-3</v>
      </c>
      <c r="Y14" s="1" t="str">
        <f t="shared" si="12"/>
        <v>00:06:02</v>
      </c>
      <c r="Z14" s="1">
        <f t="shared" si="13"/>
        <v>362</v>
      </c>
      <c r="AA14" s="1">
        <f t="shared" si="14"/>
        <v>4.1898148148148146E-3</v>
      </c>
      <c r="AB14" s="1" t="str">
        <f t="shared" si="15"/>
        <v>00:00:00</v>
      </c>
      <c r="AC14" s="1">
        <f t="shared" si="16"/>
        <v>0</v>
      </c>
      <c r="AD14" s="1">
        <v>0</v>
      </c>
      <c r="AE14" s="1" t="str">
        <f t="shared" si="17"/>
        <v>00:00:52</v>
      </c>
      <c r="AF14" s="1">
        <f t="shared" si="18"/>
        <v>52.000000000000007</v>
      </c>
      <c r="AG14" s="1">
        <v>6.018518518518519E-4</v>
      </c>
      <c r="AH14" s="1" t="str">
        <f t="shared" si="19"/>
        <v>00:00:00</v>
      </c>
      <c r="AI14" s="1">
        <f t="shared" si="20"/>
        <v>0</v>
      </c>
      <c r="AJ14" s="1">
        <v>0</v>
      </c>
      <c r="AK14" s="1">
        <v>0</v>
      </c>
      <c r="AL14" s="1">
        <v>0</v>
      </c>
    </row>
    <row r="15" spans="1:38">
      <c r="A15" t="str">
        <f t="shared" si="0"/>
        <v>20240721</v>
      </c>
      <c r="B15" s="2">
        <v>45494</v>
      </c>
      <c r="C15" s="1" t="s">
        <v>38</v>
      </c>
      <c r="D15" s="1" t="s">
        <v>41</v>
      </c>
      <c r="E15" s="1" t="s">
        <v>40</v>
      </c>
      <c r="F15" s="1">
        <v>0</v>
      </c>
      <c r="G15" s="1">
        <v>0</v>
      </c>
      <c r="H15" s="1">
        <v>0</v>
      </c>
      <c r="I15" s="1" t="str">
        <f t="shared" si="1"/>
        <v>00:00:00</v>
      </c>
      <c r="J15" s="1">
        <f t="shared" si="2"/>
        <v>0</v>
      </c>
      <c r="K15" s="1">
        <v>0</v>
      </c>
      <c r="L15" s="1" t="str">
        <f t="shared" si="3"/>
        <v>00:00:00</v>
      </c>
      <c r="M15" s="1">
        <f t="shared" si="4"/>
        <v>0</v>
      </c>
      <c r="N15" s="1">
        <v>0</v>
      </c>
      <c r="O15" s="1">
        <v>0</v>
      </c>
      <c r="P15" s="1" t="str">
        <f t="shared" si="5"/>
        <v>00:00:00</v>
      </c>
      <c r="Q15" s="1">
        <f t="shared" si="6"/>
        <v>0</v>
      </c>
      <c r="R15" s="1">
        <v>0</v>
      </c>
      <c r="S15" s="1" t="str">
        <f t="shared" si="7"/>
        <v>00:00:00</v>
      </c>
      <c r="T15" s="1">
        <f t="shared" si="8"/>
        <v>0</v>
      </c>
      <c r="U15" s="1">
        <f t="shared" si="9"/>
        <v>0</v>
      </c>
      <c r="V15" s="1" t="str">
        <f t="shared" si="10"/>
        <v>00:00:00</v>
      </c>
      <c r="W15" s="1">
        <f t="shared" si="11"/>
        <v>0</v>
      </c>
      <c r="X15" s="1">
        <v>0</v>
      </c>
      <c r="Y15" s="1" t="str">
        <f t="shared" si="12"/>
        <v>00:00:00</v>
      </c>
      <c r="Z15" s="1">
        <f t="shared" si="13"/>
        <v>0</v>
      </c>
      <c r="AA15" s="1">
        <f t="shared" si="14"/>
        <v>0</v>
      </c>
      <c r="AB15" s="1" t="str">
        <f t="shared" si="15"/>
        <v>00:00:00</v>
      </c>
      <c r="AC15" s="1">
        <f t="shared" si="16"/>
        <v>0</v>
      </c>
      <c r="AD15" s="1">
        <v>0</v>
      </c>
      <c r="AE15" s="1" t="str">
        <f t="shared" si="17"/>
        <v>00:00:00</v>
      </c>
      <c r="AF15" s="1">
        <f t="shared" si="18"/>
        <v>0</v>
      </c>
      <c r="AG15" s="1">
        <v>0</v>
      </c>
      <c r="AH15" s="1" t="str">
        <f t="shared" si="19"/>
        <v>00:00:00</v>
      </c>
      <c r="AI15" s="1">
        <f t="shared" si="20"/>
        <v>0</v>
      </c>
      <c r="AJ15" s="1">
        <v>0</v>
      </c>
      <c r="AK15" s="1">
        <v>0</v>
      </c>
      <c r="AL15" s="1">
        <v>0</v>
      </c>
    </row>
    <row r="16" spans="1:38">
      <c r="A16" t="str">
        <f t="shared" si="0"/>
        <v>20240721</v>
      </c>
      <c r="B16" s="2">
        <v>45494</v>
      </c>
      <c r="C16" s="1" t="s">
        <v>38</v>
      </c>
      <c r="D16" s="1" t="s">
        <v>42</v>
      </c>
      <c r="E16" s="1" t="s">
        <v>40</v>
      </c>
      <c r="F16" s="1">
        <v>11</v>
      </c>
      <c r="G16" s="1">
        <v>11</v>
      </c>
      <c r="H16" s="1">
        <v>0</v>
      </c>
      <c r="I16" s="1" t="str">
        <f t="shared" si="1"/>
        <v>00:00:00</v>
      </c>
      <c r="J16" s="1">
        <f t="shared" si="2"/>
        <v>0</v>
      </c>
      <c r="K16" s="1">
        <v>0</v>
      </c>
      <c r="L16" s="1" t="str">
        <f t="shared" si="3"/>
        <v>00:00:04</v>
      </c>
      <c r="M16" s="1">
        <f t="shared" si="4"/>
        <v>4</v>
      </c>
      <c r="N16" s="1">
        <v>4.6296296296296294E-5</v>
      </c>
      <c r="O16" s="1">
        <v>11</v>
      </c>
      <c r="P16" s="1" t="str">
        <f t="shared" si="5"/>
        <v>00:08:20</v>
      </c>
      <c r="Q16" s="1">
        <f t="shared" si="6"/>
        <v>500</v>
      </c>
      <c r="R16" s="1">
        <v>5.7870370370370367E-3</v>
      </c>
      <c r="S16" s="1" t="str">
        <f t="shared" si="7"/>
        <v>01:31:40</v>
      </c>
      <c r="T16" s="1">
        <f t="shared" si="8"/>
        <v>5499.9999999999991</v>
      </c>
      <c r="U16" s="1">
        <f t="shared" si="9"/>
        <v>6.3657407407407399E-2</v>
      </c>
      <c r="V16" s="1" t="str">
        <f t="shared" si="10"/>
        <v>00:05:37</v>
      </c>
      <c r="W16" s="1">
        <f t="shared" si="11"/>
        <v>337</v>
      </c>
      <c r="X16" s="1">
        <v>3.9004629629629628E-3</v>
      </c>
      <c r="Y16" s="1" t="str">
        <f t="shared" si="12"/>
        <v>01:01:47</v>
      </c>
      <c r="Z16" s="1">
        <f t="shared" si="13"/>
        <v>3707</v>
      </c>
      <c r="AA16" s="1">
        <f t="shared" si="14"/>
        <v>4.2905092592592592E-2</v>
      </c>
      <c r="AB16" s="1" t="str">
        <f t="shared" si="15"/>
        <v>00:26:18</v>
      </c>
      <c r="AC16" s="1">
        <f t="shared" si="16"/>
        <v>1578</v>
      </c>
      <c r="AD16" s="1">
        <v>1.8263888888888889E-2</v>
      </c>
      <c r="AE16" s="1" t="str">
        <f t="shared" si="17"/>
        <v>00:03:40</v>
      </c>
      <c r="AF16" s="1">
        <f t="shared" si="18"/>
        <v>220.00000000000003</v>
      </c>
      <c r="AG16" s="1">
        <v>2.5462962962962965E-3</v>
      </c>
      <c r="AH16" s="1" t="str">
        <f t="shared" si="19"/>
        <v>00:00:00</v>
      </c>
      <c r="AI16" s="1">
        <f t="shared" si="20"/>
        <v>0</v>
      </c>
      <c r="AJ16" s="1">
        <v>0</v>
      </c>
      <c r="AK16" s="1">
        <v>0</v>
      </c>
      <c r="AL16" s="1">
        <v>0</v>
      </c>
    </row>
    <row r="17" spans="1:38">
      <c r="A17" t="str">
        <f t="shared" si="0"/>
        <v>20240722</v>
      </c>
      <c r="B17" s="2">
        <v>45495</v>
      </c>
      <c r="C17" s="1" t="s">
        <v>38</v>
      </c>
      <c r="D17" s="1" t="s">
        <v>39</v>
      </c>
      <c r="E17" s="1" t="s">
        <v>40</v>
      </c>
      <c r="F17" s="1">
        <v>68</v>
      </c>
      <c r="G17" s="1">
        <v>66</v>
      </c>
      <c r="H17" s="1">
        <v>2</v>
      </c>
      <c r="I17" s="1" t="str">
        <f t="shared" si="1"/>
        <v>00:00:20</v>
      </c>
      <c r="J17" s="1">
        <f t="shared" si="2"/>
        <v>20</v>
      </c>
      <c r="K17" s="1">
        <v>2.3148148148148149E-4</v>
      </c>
      <c r="L17" s="1" t="str">
        <f t="shared" si="3"/>
        <v>00:00:18</v>
      </c>
      <c r="M17" s="1">
        <f t="shared" si="4"/>
        <v>18</v>
      </c>
      <c r="N17" s="1">
        <v>2.0833333333333335E-4</v>
      </c>
      <c r="O17" s="1">
        <v>56.999999999999993</v>
      </c>
      <c r="P17" s="1" t="str">
        <f t="shared" si="5"/>
        <v>00:06:54</v>
      </c>
      <c r="Q17" s="1">
        <f t="shared" si="6"/>
        <v>413.99999999999994</v>
      </c>
      <c r="R17" s="1">
        <v>4.7916666666666663E-3</v>
      </c>
      <c r="S17" s="1" t="str">
        <f t="shared" si="7"/>
        <v>07:35:24</v>
      </c>
      <c r="T17" s="1">
        <f t="shared" si="8"/>
        <v>27323.999999999996</v>
      </c>
      <c r="U17" s="1">
        <f t="shared" si="9"/>
        <v>0.31624999999999998</v>
      </c>
      <c r="V17" s="1" t="str">
        <f t="shared" si="10"/>
        <v>00:05:21</v>
      </c>
      <c r="W17" s="1">
        <f t="shared" si="11"/>
        <v>321</v>
      </c>
      <c r="X17" s="1">
        <v>3.7152777777777778E-3</v>
      </c>
      <c r="Y17" s="1" t="str">
        <f t="shared" si="12"/>
        <v>05:53:06</v>
      </c>
      <c r="Z17" s="1">
        <f t="shared" si="13"/>
        <v>21186</v>
      </c>
      <c r="AA17" s="1">
        <f t="shared" si="14"/>
        <v>0.24520833333333333</v>
      </c>
      <c r="AB17" s="1" t="str">
        <f t="shared" si="15"/>
        <v>01:28:21</v>
      </c>
      <c r="AC17" s="1">
        <f t="shared" si="16"/>
        <v>5301.0000000000009</v>
      </c>
      <c r="AD17" s="1">
        <v>6.1354166666666675E-2</v>
      </c>
      <c r="AE17" s="1" t="str">
        <f t="shared" si="17"/>
        <v>00:41:48</v>
      </c>
      <c r="AF17" s="1">
        <f t="shared" si="18"/>
        <v>2508</v>
      </c>
      <c r="AG17" s="1">
        <v>2.9027777777777777E-2</v>
      </c>
      <c r="AH17" s="1" t="str">
        <f t="shared" si="19"/>
        <v>00:00:20</v>
      </c>
      <c r="AI17" s="1">
        <f t="shared" si="20"/>
        <v>20</v>
      </c>
      <c r="AJ17" s="1">
        <v>2.3148148148148149E-4</v>
      </c>
      <c r="AK17" s="1">
        <v>0</v>
      </c>
      <c r="AL17" s="1">
        <v>0</v>
      </c>
    </row>
    <row r="18" spans="1:38">
      <c r="A18" t="str">
        <f t="shared" si="0"/>
        <v>20240722</v>
      </c>
      <c r="B18" s="2">
        <v>45495</v>
      </c>
      <c r="C18" s="1" t="s">
        <v>38</v>
      </c>
      <c r="D18" s="1" t="s">
        <v>41</v>
      </c>
      <c r="E18" s="1" t="s">
        <v>40</v>
      </c>
      <c r="F18" s="1">
        <v>50</v>
      </c>
      <c r="G18" s="1">
        <v>48</v>
      </c>
      <c r="H18" s="1">
        <v>2</v>
      </c>
      <c r="I18" s="1" t="str">
        <f t="shared" si="1"/>
        <v>00:01:06</v>
      </c>
      <c r="J18" s="1">
        <f t="shared" si="2"/>
        <v>66</v>
      </c>
      <c r="K18" s="1">
        <v>7.6388888888888893E-4</v>
      </c>
      <c r="L18" s="1" t="str">
        <f t="shared" si="3"/>
        <v>00:00:18</v>
      </c>
      <c r="M18" s="1">
        <f t="shared" si="4"/>
        <v>18</v>
      </c>
      <c r="N18" s="1">
        <v>2.0833333333333335E-4</v>
      </c>
      <c r="O18" s="1">
        <v>39</v>
      </c>
      <c r="P18" s="1" t="str">
        <f t="shared" si="5"/>
        <v>00:08:01</v>
      </c>
      <c r="Q18" s="1">
        <f t="shared" si="6"/>
        <v>481</v>
      </c>
      <c r="R18" s="1">
        <v>5.5671296296296293E-3</v>
      </c>
      <c r="S18" s="1" t="str">
        <f t="shared" si="7"/>
        <v>06:24:48</v>
      </c>
      <c r="T18" s="1">
        <f t="shared" si="8"/>
        <v>23087.999999999996</v>
      </c>
      <c r="U18" s="1">
        <f t="shared" si="9"/>
        <v>0.26722222222222219</v>
      </c>
      <c r="V18" s="1" t="str">
        <f t="shared" si="10"/>
        <v>00:05:19</v>
      </c>
      <c r="W18" s="1">
        <f t="shared" si="11"/>
        <v>319</v>
      </c>
      <c r="X18" s="1">
        <v>3.6921296296296298E-3</v>
      </c>
      <c r="Y18" s="1" t="str">
        <f t="shared" si="12"/>
        <v>04:15:12</v>
      </c>
      <c r="Z18" s="1">
        <f t="shared" si="13"/>
        <v>15312</v>
      </c>
      <c r="AA18" s="1">
        <f t="shared" si="14"/>
        <v>0.17722222222222223</v>
      </c>
      <c r="AB18" s="1" t="str">
        <f t="shared" si="15"/>
        <v>01:38:48</v>
      </c>
      <c r="AC18" s="1">
        <f t="shared" si="16"/>
        <v>5928</v>
      </c>
      <c r="AD18" s="1">
        <v>6.8611111111111109E-2</v>
      </c>
      <c r="AE18" s="1" t="str">
        <f t="shared" si="17"/>
        <v>00:30:24</v>
      </c>
      <c r="AF18" s="1">
        <f t="shared" si="18"/>
        <v>1824</v>
      </c>
      <c r="AG18" s="1">
        <v>2.1111111111111112E-2</v>
      </c>
      <c r="AH18" s="1" t="str">
        <f t="shared" si="19"/>
        <v>00:01:06</v>
      </c>
      <c r="AI18" s="1">
        <f t="shared" si="20"/>
        <v>66</v>
      </c>
      <c r="AJ18" s="1">
        <v>7.6388888888888893E-4</v>
      </c>
      <c r="AK18" s="1">
        <v>0</v>
      </c>
      <c r="AL18" s="1">
        <v>0</v>
      </c>
    </row>
    <row r="19" spans="1:38">
      <c r="A19" t="str">
        <f t="shared" si="0"/>
        <v>20240722</v>
      </c>
      <c r="B19" s="2">
        <v>45495</v>
      </c>
      <c r="C19" s="1" t="s">
        <v>38</v>
      </c>
      <c r="D19" s="1" t="s">
        <v>42</v>
      </c>
      <c r="E19" s="1" t="s">
        <v>40</v>
      </c>
      <c r="F19" s="1">
        <v>181</v>
      </c>
      <c r="G19" s="1">
        <v>180</v>
      </c>
      <c r="H19" s="1">
        <v>1</v>
      </c>
      <c r="I19" s="1" t="str">
        <f t="shared" si="1"/>
        <v>00:01:03</v>
      </c>
      <c r="J19" s="1">
        <f t="shared" si="2"/>
        <v>63</v>
      </c>
      <c r="K19" s="1">
        <v>7.291666666666667E-4</v>
      </c>
      <c r="L19" s="1" t="str">
        <f t="shared" si="3"/>
        <v>00:00:08</v>
      </c>
      <c r="M19" s="1">
        <f t="shared" si="4"/>
        <v>8</v>
      </c>
      <c r="N19" s="1">
        <v>9.2592592592592588E-5</v>
      </c>
      <c r="O19" s="1">
        <v>162.99999999999994</v>
      </c>
      <c r="P19" s="1" t="str">
        <f t="shared" si="5"/>
        <v>00:11:41</v>
      </c>
      <c r="Q19" s="1">
        <f t="shared" si="6"/>
        <v>701.00000000000011</v>
      </c>
      <c r="R19" s="1">
        <v>8.1134259259259267E-3</v>
      </c>
      <c r="S19" s="1" t="str">
        <f t="shared" si="7"/>
        <v>11:03:00</v>
      </c>
      <c r="T19" s="1">
        <f t="shared" si="8"/>
        <v>126180</v>
      </c>
      <c r="U19" s="1">
        <f t="shared" si="9"/>
        <v>1.4604166666666667</v>
      </c>
      <c r="V19" s="1" t="str">
        <f t="shared" si="10"/>
        <v>00:08:01</v>
      </c>
      <c r="W19" s="1">
        <f t="shared" si="11"/>
        <v>481</v>
      </c>
      <c r="X19" s="1">
        <v>5.5671296296296293E-3</v>
      </c>
      <c r="Y19" s="1" t="str">
        <f t="shared" si="12"/>
        <v>00:03:00</v>
      </c>
      <c r="Z19" s="1">
        <f t="shared" si="13"/>
        <v>86579.999999999985</v>
      </c>
      <c r="AA19" s="1">
        <f t="shared" si="14"/>
        <v>1.0020833333333332</v>
      </c>
      <c r="AB19" s="1" t="str">
        <f t="shared" si="15"/>
        <v>09:00:31</v>
      </c>
      <c r="AC19" s="1">
        <f t="shared" si="16"/>
        <v>32430.999999999996</v>
      </c>
      <c r="AD19" s="1">
        <v>0.37535879629629626</v>
      </c>
      <c r="AE19" s="1" t="str">
        <f t="shared" si="17"/>
        <v>02:00:00</v>
      </c>
      <c r="AF19" s="1">
        <f t="shared" si="18"/>
        <v>7200.0000000000009</v>
      </c>
      <c r="AG19" s="1">
        <v>8.3333333333333343E-2</v>
      </c>
      <c r="AH19" s="1" t="str">
        <f t="shared" si="19"/>
        <v>00:01:03</v>
      </c>
      <c r="AI19" s="1">
        <f t="shared" si="20"/>
        <v>63</v>
      </c>
      <c r="AJ19" s="1">
        <v>7.291666666666667E-4</v>
      </c>
      <c r="AK19" s="1">
        <v>0</v>
      </c>
      <c r="AL19" s="1">
        <v>0</v>
      </c>
    </row>
    <row r="20" spans="1:38">
      <c r="A20" t="str">
        <f t="shared" si="0"/>
        <v>20240723</v>
      </c>
      <c r="B20" s="2">
        <v>45496</v>
      </c>
      <c r="C20" s="1" t="s">
        <v>38</v>
      </c>
      <c r="D20" s="1" t="s">
        <v>39</v>
      </c>
      <c r="E20" s="1" t="s">
        <v>40</v>
      </c>
      <c r="F20" s="1">
        <v>67</v>
      </c>
      <c r="G20" s="1">
        <v>65</v>
      </c>
      <c r="H20" s="1">
        <v>2</v>
      </c>
      <c r="I20" s="1" t="str">
        <f t="shared" si="1"/>
        <v>00:00:00</v>
      </c>
      <c r="J20" s="1">
        <f t="shared" si="2"/>
        <v>0</v>
      </c>
      <c r="K20" s="1">
        <v>0</v>
      </c>
      <c r="L20" s="1" t="str">
        <f t="shared" si="3"/>
        <v>00:01:12</v>
      </c>
      <c r="M20" s="1">
        <f t="shared" si="4"/>
        <v>72</v>
      </c>
      <c r="N20" s="1">
        <v>8.3333333333333339E-4</v>
      </c>
      <c r="O20" s="1">
        <v>51.999999999999957</v>
      </c>
      <c r="P20" s="1" t="str">
        <f t="shared" si="5"/>
        <v>00:05:43</v>
      </c>
      <c r="Q20" s="1">
        <f t="shared" si="6"/>
        <v>343</v>
      </c>
      <c r="R20" s="1">
        <v>3.9699074074074072E-3</v>
      </c>
      <c r="S20" s="1" t="str">
        <f t="shared" si="7"/>
        <v>06:11:35</v>
      </c>
      <c r="T20" s="1">
        <f t="shared" si="8"/>
        <v>22294.999999999996</v>
      </c>
      <c r="U20" s="1">
        <f t="shared" si="9"/>
        <v>0.25804398148148144</v>
      </c>
      <c r="V20" s="1" t="str">
        <f t="shared" si="10"/>
        <v>00:05:06</v>
      </c>
      <c r="W20" s="1">
        <f t="shared" si="11"/>
        <v>306</v>
      </c>
      <c r="X20" s="1">
        <v>3.5416666666666665E-3</v>
      </c>
      <c r="Y20" s="1" t="str">
        <f t="shared" si="12"/>
        <v>05:31:30</v>
      </c>
      <c r="Z20" s="1">
        <f t="shared" si="13"/>
        <v>19890</v>
      </c>
      <c r="AA20" s="1">
        <f t="shared" si="14"/>
        <v>0.23020833333333332</v>
      </c>
      <c r="AB20" s="1" t="str">
        <f t="shared" si="15"/>
        <v>01:41:00</v>
      </c>
      <c r="AC20" s="1">
        <f t="shared" si="16"/>
        <v>6060</v>
      </c>
      <c r="AD20" s="1">
        <v>7.013888888888889E-2</v>
      </c>
      <c r="AE20" s="1" t="str">
        <f t="shared" si="17"/>
        <v>00:29:15</v>
      </c>
      <c r="AF20" s="1">
        <f t="shared" si="18"/>
        <v>1755</v>
      </c>
      <c r="AG20" s="1">
        <v>2.0312500000000001E-2</v>
      </c>
      <c r="AH20" s="1" t="str">
        <f t="shared" si="19"/>
        <v>00:00:00</v>
      </c>
      <c r="AI20" s="1">
        <f t="shared" si="20"/>
        <v>0</v>
      </c>
      <c r="AJ20" s="1">
        <v>0</v>
      </c>
      <c r="AK20" s="1">
        <v>0</v>
      </c>
      <c r="AL20" s="1">
        <v>0</v>
      </c>
    </row>
    <row r="21" spans="1:38">
      <c r="A21" t="str">
        <f t="shared" si="0"/>
        <v>20240723</v>
      </c>
      <c r="B21" s="2">
        <v>45496</v>
      </c>
      <c r="C21" s="1" t="s">
        <v>38</v>
      </c>
      <c r="D21" s="1" t="s">
        <v>41</v>
      </c>
      <c r="E21" s="1" t="s">
        <v>40</v>
      </c>
      <c r="F21" s="1">
        <v>42</v>
      </c>
      <c r="G21" s="1">
        <v>40</v>
      </c>
      <c r="H21" s="1">
        <v>2</v>
      </c>
      <c r="I21" s="1" t="str">
        <f t="shared" si="1"/>
        <v>00:00:00</v>
      </c>
      <c r="J21" s="1">
        <f t="shared" si="2"/>
        <v>0</v>
      </c>
      <c r="K21" s="1">
        <v>0</v>
      </c>
      <c r="L21" s="1" t="str">
        <f t="shared" si="3"/>
        <v>00:01:04</v>
      </c>
      <c r="M21" s="1">
        <f t="shared" si="4"/>
        <v>64</v>
      </c>
      <c r="N21" s="1">
        <v>7.407407407407407E-4</v>
      </c>
      <c r="O21" s="1">
        <v>32.999999999999972</v>
      </c>
      <c r="P21" s="1" t="str">
        <f t="shared" si="5"/>
        <v>00:08:16</v>
      </c>
      <c r="Q21" s="1">
        <f t="shared" si="6"/>
        <v>496</v>
      </c>
      <c r="R21" s="1">
        <v>5.7407407407407407E-3</v>
      </c>
      <c r="S21" s="1" t="str">
        <f t="shared" si="7"/>
        <v>05:30:40</v>
      </c>
      <c r="T21" s="1">
        <f t="shared" si="8"/>
        <v>19840</v>
      </c>
      <c r="U21" s="1">
        <f t="shared" si="9"/>
        <v>0.22962962962962963</v>
      </c>
      <c r="V21" s="1" t="str">
        <f t="shared" si="10"/>
        <v>00:05:28</v>
      </c>
      <c r="W21" s="1">
        <f t="shared" si="11"/>
        <v>328</v>
      </c>
      <c r="X21" s="1">
        <v>3.7962962962962963E-3</v>
      </c>
      <c r="Y21" s="1" t="str">
        <f t="shared" si="12"/>
        <v>03:38:40</v>
      </c>
      <c r="Z21" s="1">
        <f t="shared" si="13"/>
        <v>13120</v>
      </c>
      <c r="AA21" s="1">
        <f t="shared" si="14"/>
        <v>0.15185185185185185</v>
      </c>
      <c r="AB21" s="1" t="str">
        <f t="shared" si="15"/>
        <v>01:23:45</v>
      </c>
      <c r="AC21" s="1">
        <f t="shared" si="16"/>
        <v>5024.9999999999991</v>
      </c>
      <c r="AD21" s="1">
        <v>5.8159722222222217E-2</v>
      </c>
      <c r="AE21" s="1" t="str">
        <f t="shared" si="17"/>
        <v>00:28:40</v>
      </c>
      <c r="AF21" s="1">
        <f t="shared" si="18"/>
        <v>1720</v>
      </c>
      <c r="AG21" s="1">
        <v>1.9907407407407408E-2</v>
      </c>
      <c r="AH21" s="1" t="str">
        <f t="shared" si="19"/>
        <v>00:00:00</v>
      </c>
      <c r="AI21" s="1">
        <f t="shared" si="20"/>
        <v>0</v>
      </c>
      <c r="AJ21" s="1">
        <v>0</v>
      </c>
      <c r="AK21" s="1">
        <v>0</v>
      </c>
      <c r="AL21" s="1">
        <v>0</v>
      </c>
    </row>
    <row r="22" spans="1:38">
      <c r="A22" t="str">
        <f t="shared" si="0"/>
        <v>20240723</v>
      </c>
      <c r="B22" s="2">
        <v>45496</v>
      </c>
      <c r="C22" s="1" t="s">
        <v>38</v>
      </c>
      <c r="D22" s="1" t="s">
        <v>42</v>
      </c>
      <c r="E22" s="1" t="s">
        <v>40</v>
      </c>
      <c r="F22" s="1">
        <v>187</v>
      </c>
      <c r="G22" s="1">
        <v>184</v>
      </c>
      <c r="H22" s="1">
        <v>3</v>
      </c>
      <c r="I22" s="1" t="str">
        <f t="shared" si="1"/>
        <v>00:00:00</v>
      </c>
      <c r="J22" s="1">
        <f t="shared" si="2"/>
        <v>0</v>
      </c>
      <c r="K22" s="1">
        <v>0</v>
      </c>
      <c r="L22" s="1" t="str">
        <f t="shared" si="3"/>
        <v>00:00:16</v>
      </c>
      <c r="M22" s="1">
        <f t="shared" si="4"/>
        <v>16</v>
      </c>
      <c r="N22" s="1">
        <v>1.8518518518518518E-4</v>
      </c>
      <c r="O22" s="1">
        <v>161.99999999999989</v>
      </c>
      <c r="P22" s="1" t="str">
        <f t="shared" si="5"/>
        <v>00:12:47</v>
      </c>
      <c r="Q22" s="1">
        <f t="shared" si="6"/>
        <v>767</v>
      </c>
      <c r="R22" s="1">
        <v>8.8773148148148153E-3</v>
      </c>
      <c r="S22" s="1" t="str">
        <f t="shared" si="7"/>
        <v>15:12:08</v>
      </c>
      <c r="T22" s="1">
        <f t="shared" si="8"/>
        <v>141128</v>
      </c>
      <c r="U22" s="1">
        <f t="shared" si="9"/>
        <v>1.6334259259259261</v>
      </c>
      <c r="V22" s="1" t="str">
        <f t="shared" si="10"/>
        <v>00:09:13</v>
      </c>
      <c r="W22" s="1">
        <f t="shared" si="11"/>
        <v>553</v>
      </c>
      <c r="X22" s="1">
        <v>6.4004629629629628E-3</v>
      </c>
      <c r="Y22" s="1" t="str">
        <f t="shared" si="12"/>
        <v>04:15:52</v>
      </c>
      <c r="Z22" s="1">
        <f t="shared" si="13"/>
        <v>101751.99999999999</v>
      </c>
      <c r="AA22" s="1">
        <f t="shared" si="14"/>
        <v>1.1776851851851851</v>
      </c>
      <c r="AB22" s="1" t="str">
        <f t="shared" si="15"/>
        <v>08:36:48</v>
      </c>
      <c r="AC22" s="1">
        <f t="shared" si="16"/>
        <v>31008</v>
      </c>
      <c r="AD22" s="1">
        <v>0.35888888888888887</v>
      </c>
      <c r="AE22" s="1" t="str">
        <f t="shared" si="17"/>
        <v>02:18:00</v>
      </c>
      <c r="AF22" s="1">
        <f t="shared" si="18"/>
        <v>8280</v>
      </c>
      <c r="AG22" s="1">
        <v>9.5833333333333326E-2</v>
      </c>
      <c r="AH22" s="1" t="str">
        <f t="shared" si="19"/>
        <v>00:00:00</v>
      </c>
      <c r="AI22" s="1">
        <f t="shared" si="20"/>
        <v>0</v>
      </c>
      <c r="AJ22" s="1">
        <v>0</v>
      </c>
      <c r="AK22" s="1">
        <v>0</v>
      </c>
      <c r="AL22" s="1">
        <v>0</v>
      </c>
    </row>
    <row r="23" spans="1:38">
      <c r="A23" t="str">
        <f t="shared" si="0"/>
        <v>20240724</v>
      </c>
      <c r="B23" s="2">
        <v>45497</v>
      </c>
      <c r="C23" s="1" t="s">
        <v>38</v>
      </c>
      <c r="D23" s="1" t="s">
        <v>39</v>
      </c>
      <c r="E23" s="1" t="s">
        <v>40</v>
      </c>
      <c r="F23" s="1">
        <v>63</v>
      </c>
      <c r="G23" s="1">
        <v>60</v>
      </c>
      <c r="H23" s="1">
        <v>3</v>
      </c>
      <c r="I23" s="1" t="str">
        <f t="shared" si="1"/>
        <v>00:00:00</v>
      </c>
      <c r="J23" s="1">
        <f t="shared" si="2"/>
        <v>0</v>
      </c>
      <c r="K23" s="1">
        <v>0</v>
      </c>
      <c r="L23" s="1" t="str">
        <f t="shared" si="3"/>
        <v>00:00:17</v>
      </c>
      <c r="M23" s="1">
        <f t="shared" si="4"/>
        <v>17</v>
      </c>
      <c r="N23" s="1">
        <v>1.9675925925925926E-4</v>
      </c>
      <c r="O23" s="1">
        <v>52.999999999999979</v>
      </c>
      <c r="P23" s="1" t="str">
        <f t="shared" si="5"/>
        <v>00:07:02</v>
      </c>
      <c r="Q23" s="1">
        <f t="shared" si="6"/>
        <v>422</v>
      </c>
      <c r="R23" s="1">
        <v>4.8842592592592592E-3</v>
      </c>
      <c r="S23" s="1" t="str">
        <f t="shared" si="7"/>
        <v>07:02:00</v>
      </c>
      <c r="T23" s="1">
        <f t="shared" si="8"/>
        <v>25320</v>
      </c>
      <c r="U23" s="1">
        <f t="shared" si="9"/>
        <v>0.29305555555555557</v>
      </c>
      <c r="V23" s="1" t="str">
        <f t="shared" si="10"/>
        <v>00:05:39</v>
      </c>
      <c r="W23" s="1">
        <f t="shared" si="11"/>
        <v>339</v>
      </c>
      <c r="X23" s="1">
        <v>3.9236111111111112E-3</v>
      </c>
      <c r="Y23" s="1" t="str">
        <f t="shared" si="12"/>
        <v>05:39:00</v>
      </c>
      <c r="Z23" s="1">
        <f t="shared" si="13"/>
        <v>20340</v>
      </c>
      <c r="AA23" s="1">
        <f t="shared" si="14"/>
        <v>0.23541666666666666</v>
      </c>
      <c r="AB23" s="1" t="str">
        <f t="shared" si="15"/>
        <v>00:48:58</v>
      </c>
      <c r="AC23" s="1">
        <f t="shared" si="16"/>
        <v>2938</v>
      </c>
      <c r="AD23" s="1">
        <v>3.4004629629629628E-2</v>
      </c>
      <c r="AE23" s="1" t="str">
        <f t="shared" si="17"/>
        <v>00:38:00</v>
      </c>
      <c r="AF23" s="1">
        <f t="shared" si="18"/>
        <v>2280</v>
      </c>
      <c r="AG23" s="1">
        <v>2.6388888888888889E-2</v>
      </c>
      <c r="AH23" s="1" t="str">
        <f t="shared" si="19"/>
        <v>00:00:00</v>
      </c>
      <c r="AI23" s="1">
        <f t="shared" si="20"/>
        <v>0</v>
      </c>
      <c r="AJ23" s="1">
        <v>0</v>
      </c>
      <c r="AK23" s="1">
        <v>0</v>
      </c>
      <c r="AL23" s="1">
        <v>0</v>
      </c>
    </row>
    <row r="24" spans="1:38">
      <c r="A24" t="str">
        <f t="shared" si="0"/>
        <v>20240724</v>
      </c>
      <c r="B24" s="2">
        <v>45497</v>
      </c>
      <c r="C24" s="1" t="s">
        <v>38</v>
      </c>
      <c r="D24" s="1" t="s">
        <v>41</v>
      </c>
      <c r="E24" s="1" t="s">
        <v>40</v>
      </c>
      <c r="F24" s="1">
        <v>30</v>
      </c>
      <c r="G24" s="1">
        <v>29</v>
      </c>
      <c r="H24" s="1">
        <v>1</v>
      </c>
      <c r="I24" s="1" t="str">
        <f t="shared" si="1"/>
        <v>00:00:00</v>
      </c>
      <c r="J24" s="1">
        <f t="shared" si="2"/>
        <v>0</v>
      </c>
      <c r="K24" s="1">
        <v>0</v>
      </c>
      <c r="L24" s="1" t="str">
        <f t="shared" si="3"/>
        <v>00:00:25</v>
      </c>
      <c r="M24" s="1">
        <f t="shared" si="4"/>
        <v>25</v>
      </c>
      <c r="N24" s="1">
        <v>2.8935185185185184E-4</v>
      </c>
      <c r="O24" s="1">
        <v>27</v>
      </c>
      <c r="P24" s="1" t="str">
        <f t="shared" si="5"/>
        <v>00:10:38</v>
      </c>
      <c r="Q24" s="1">
        <f t="shared" si="6"/>
        <v>638</v>
      </c>
      <c r="R24" s="1">
        <v>7.3842592592592597E-3</v>
      </c>
      <c r="S24" s="1" t="str">
        <f t="shared" si="7"/>
        <v>05:08:22</v>
      </c>
      <c r="T24" s="1">
        <f t="shared" si="8"/>
        <v>18502</v>
      </c>
      <c r="U24" s="1">
        <f t="shared" si="9"/>
        <v>0.21414351851851854</v>
      </c>
      <c r="V24" s="1" t="str">
        <f t="shared" si="10"/>
        <v>00:07:35</v>
      </c>
      <c r="W24" s="1">
        <f t="shared" si="11"/>
        <v>455</v>
      </c>
      <c r="X24" s="1">
        <v>5.2662037037037035E-3</v>
      </c>
      <c r="Y24" s="1" t="str">
        <f t="shared" si="12"/>
        <v>03:39:55</v>
      </c>
      <c r="Z24" s="1">
        <f t="shared" si="13"/>
        <v>13195</v>
      </c>
      <c r="AA24" s="1">
        <f t="shared" si="14"/>
        <v>0.1527199074074074</v>
      </c>
      <c r="AB24" s="1" t="str">
        <f t="shared" si="15"/>
        <v>01:06:30</v>
      </c>
      <c r="AC24" s="1">
        <f t="shared" si="16"/>
        <v>3990</v>
      </c>
      <c r="AD24" s="1">
        <v>4.6180555555555558E-2</v>
      </c>
      <c r="AE24" s="1" t="str">
        <f t="shared" si="17"/>
        <v>00:21:45</v>
      </c>
      <c r="AF24" s="1">
        <f t="shared" si="18"/>
        <v>1305</v>
      </c>
      <c r="AG24" s="1">
        <v>1.5104166666666667E-2</v>
      </c>
      <c r="AH24" s="1" t="str">
        <f t="shared" si="19"/>
        <v>00:00:00</v>
      </c>
      <c r="AI24" s="1">
        <f t="shared" si="20"/>
        <v>0</v>
      </c>
      <c r="AJ24" s="1">
        <v>0</v>
      </c>
      <c r="AK24" s="1">
        <v>0</v>
      </c>
      <c r="AL24" s="1">
        <v>0</v>
      </c>
    </row>
    <row r="25" spans="1:38">
      <c r="A25" t="str">
        <f t="shared" si="0"/>
        <v>20240724</v>
      </c>
      <c r="B25" s="2">
        <v>45497</v>
      </c>
      <c r="C25" s="1" t="s">
        <v>38</v>
      </c>
      <c r="D25" s="1" t="s">
        <v>42</v>
      </c>
      <c r="E25" s="1" t="s">
        <v>40</v>
      </c>
      <c r="F25" s="1">
        <v>237</v>
      </c>
      <c r="G25" s="1">
        <v>232</v>
      </c>
      <c r="H25" s="1">
        <v>5</v>
      </c>
      <c r="I25" s="1" t="str">
        <f t="shared" si="1"/>
        <v>00:00:00</v>
      </c>
      <c r="J25" s="1">
        <f t="shared" si="2"/>
        <v>0</v>
      </c>
      <c r="K25" s="1">
        <v>0</v>
      </c>
      <c r="L25" s="1" t="str">
        <f t="shared" si="3"/>
        <v>00:00:20</v>
      </c>
      <c r="M25" s="1">
        <f t="shared" si="4"/>
        <v>20</v>
      </c>
      <c r="N25" s="1">
        <v>2.3148148148148149E-4</v>
      </c>
      <c r="O25" s="1">
        <v>202.99999999999983</v>
      </c>
      <c r="P25" s="1" t="str">
        <f t="shared" si="5"/>
        <v>00:11:29</v>
      </c>
      <c r="Q25" s="1">
        <f t="shared" si="6"/>
        <v>689</v>
      </c>
      <c r="R25" s="1">
        <v>7.9745370370370369E-3</v>
      </c>
      <c r="S25" s="1" t="str">
        <f t="shared" si="7"/>
        <v>20:24:08</v>
      </c>
      <c r="T25" s="1">
        <f t="shared" si="8"/>
        <v>159848</v>
      </c>
      <c r="U25" s="1">
        <f t="shared" si="9"/>
        <v>1.8500925925925926</v>
      </c>
      <c r="V25" s="1" t="str">
        <f t="shared" si="10"/>
        <v>00:08:19</v>
      </c>
      <c r="W25" s="1">
        <f t="shared" si="11"/>
        <v>499</v>
      </c>
      <c r="X25" s="1">
        <v>5.7754629629629631E-3</v>
      </c>
      <c r="Y25" s="1" t="str">
        <f t="shared" si="12"/>
        <v>08:09:28</v>
      </c>
      <c r="Z25" s="1">
        <f t="shared" si="13"/>
        <v>115768.00000000001</v>
      </c>
      <c r="AA25" s="1">
        <f t="shared" si="14"/>
        <v>1.3399074074074075</v>
      </c>
      <c r="AB25" s="1" t="str">
        <f t="shared" si="15"/>
        <v>09:42:54</v>
      </c>
      <c r="AC25" s="1">
        <f t="shared" si="16"/>
        <v>34974</v>
      </c>
      <c r="AD25" s="1">
        <v>0.40479166666666666</v>
      </c>
      <c r="AE25" s="1" t="str">
        <f t="shared" si="17"/>
        <v>02:26:56</v>
      </c>
      <c r="AF25" s="1">
        <f t="shared" si="18"/>
        <v>8816</v>
      </c>
      <c r="AG25" s="1">
        <v>0.10203703703703704</v>
      </c>
      <c r="AH25" s="1" t="str">
        <f t="shared" si="19"/>
        <v>00:00:00</v>
      </c>
      <c r="AI25" s="1">
        <f t="shared" si="20"/>
        <v>0</v>
      </c>
      <c r="AJ25" s="1">
        <v>0</v>
      </c>
      <c r="AK25" s="1">
        <v>0</v>
      </c>
      <c r="AL25" s="1">
        <v>0</v>
      </c>
    </row>
    <row r="26" spans="1:38">
      <c r="A26" t="str">
        <f t="shared" si="0"/>
        <v>20240725</v>
      </c>
      <c r="B26" s="2">
        <v>45498</v>
      </c>
      <c r="C26" s="1" t="s">
        <v>38</v>
      </c>
      <c r="D26" s="1" t="s">
        <v>39</v>
      </c>
      <c r="E26" s="1" t="s">
        <v>40</v>
      </c>
      <c r="F26" s="1">
        <v>59</v>
      </c>
      <c r="G26" s="1">
        <v>56</v>
      </c>
      <c r="H26" s="1">
        <v>3</v>
      </c>
      <c r="I26" s="1" t="str">
        <f t="shared" si="1"/>
        <v>00:00:00</v>
      </c>
      <c r="J26" s="1">
        <f t="shared" si="2"/>
        <v>0</v>
      </c>
      <c r="K26" s="1">
        <v>0</v>
      </c>
      <c r="L26" s="1" t="str">
        <f t="shared" si="3"/>
        <v>00:00:24</v>
      </c>
      <c r="M26" s="1">
        <f t="shared" si="4"/>
        <v>24</v>
      </c>
      <c r="N26" s="1">
        <v>2.7777777777777778E-4</v>
      </c>
      <c r="O26" s="1">
        <v>46.999999999999972</v>
      </c>
      <c r="P26" s="1" t="str">
        <f t="shared" si="5"/>
        <v>00:07:01</v>
      </c>
      <c r="Q26" s="1">
        <f t="shared" si="6"/>
        <v>420.99999999999994</v>
      </c>
      <c r="R26" s="1">
        <v>4.8726851851851848E-3</v>
      </c>
      <c r="S26" s="1" t="str">
        <f t="shared" si="7"/>
        <v>06:32:56</v>
      </c>
      <c r="T26" s="1">
        <f t="shared" si="8"/>
        <v>23575.999999999996</v>
      </c>
      <c r="U26" s="1">
        <f t="shared" si="9"/>
        <v>0.27287037037037032</v>
      </c>
      <c r="V26" s="1" t="str">
        <f t="shared" si="10"/>
        <v>00:05:22</v>
      </c>
      <c r="W26" s="1">
        <f t="shared" si="11"/>
        <v>322</v>
      </c>
      <c r="X26" s="1">
        <v>3.7268518518518519E-3</v>
      </c>
      <c r="Y26" s="1" t="str">
        <f t="shared" si="12"/>
        <v>05:00:32</v>
      </c>
      <c r="Z26" s="1">
        <f t="shared" si="13"/>
        <v>18032</v>
      </c>
      <c r="AA26" s="1">
        <f t="shared" si="14"/>
        <v>0.2087037037037037</v>
      </c>
      <c r="AB26" s="1" t="str">
        <f t="shared" si="15"/>
        <v>01:48:14</v>
      </c>
      <c r="AC26" s="1">
        <f t="shared" si="16"/>
        <v>6494</v>
      </c>
      <c r="AD26" s="1">
        <v>7.5162037037037041E-2</v>
      </c>
      <c r="AE26" s="1" t="str">
        <f t="shared" si="17"/>
        <v>00:36:24</v>
      </c>
      <c r="AF26" s="1">
        <f t="shared" si="18"/>
        <v>2184</v>
      </c>
      <c r="AG26" s="1">
        <v>2.5277777777777777E-2</v>
      </c>
      <c r="AH26" s="1" t="str">
        <f t="shared" si="19"/>
        <v>00:00:00</v>
      </c>
      <c r="AI26" s="1">
        <f t="shared" si="20"/>
        <v>0</v>
      </c>
      <c r="AJ26" s="1">
        <v>0</v>
      </c>
      <c r="AK26" s="1">
        <v>0</v>
      </c>
      <c r="AL26" s="1">
        <v>0</v>
      </c>
    </row>
    <row r="27" spans="1:38">
      <c r="A27" t="str">
        <f t="shared" si="0"/>
        <v>20240725</v>
      </c>
      <c r="B27" s="2">
        <v>45498</v>
      </c>
      <c r="C27" s="1" t="s">
        <v>38</v>
      </c>
      <c r="D27" s="1" t="s">
        <v>41</v>
      </c>
      <c r="E27" s="1" t="s">
        <v>40</v>
      </c>
      <c r="F27" s="1">
        <v>40</v>
      </c>
      <c r="G27" s="1">
        <v>37</v>
      </c>
      <c r="H27" s="1">
        <v>3</v>
      </c>
      <c r="I27" s="1" t="str">
        <f t="shared" si="1"/>
        <v>00:00:00</v>
      </c>
      <c r="J27" s="1">
        <f t="shared" si="2"/>
        <v>0</v>
      </c>
      <c r="K27" s="1">
        <v>0</v>
      </c>
      <c r="L27" s="1" t="str">
        <f t="shared" si="3"/>
        <v>00:00:25</v>
      </c>
      <c r="M27" s="1">
        <f t="shared" si="4"/>
        <v>25</v>
      </c>
      <c r="N27" s="1">
        <v>2.8935185185185184E-4</v>
      </c>
      <c r="O27" s="1">
        <v>31</v>
      </c>
      <c r="P27" s="1" t="str">
        <f t="shared" si="5"/>
        <v>00:09:20</v>
      </c>
      <c r="Q27" s="1">
        <f t="shared" si="6"/>
        <v>560</v>
      </c>
      <c r="R27" s="1">
        <v>6.4814814814814813E-3</v>
      </c>
      <c r="S27" s="1" t="str">
        <f t="shared" si="7"/>
        <v>05:45:20</v>
      </c>
      <c r="T27" s="1">
        <f t="shared" si="8"/>
        <v>20720</v>
      </c>
      <c r="U27" s="1">
        <f t="shared" si="9"/>
        <v>0.23981481481481481</v>
      </c>
      <c r="V27" s="1" t="str">
        <f t="shared" si="10"/>
        <v>00:06:22</v>
      </c>
      <c r="W27" s="1">
        <f t="shared" si="11"/>
        <v>382</v>
      </c>
      <c r="X27" s="1">
        <v>4.4212962962962964E-3</v>
      </c>
      <c r="Y27" s="1" t="str">
        <f t="shared" si="12"/>
        <v>03:55:34</v>
      </c>
      <c r="Z27" s="1">
        <f t="shared" si="13"/>
        <v>14134</v>
      </c>
      <c r="AA27" s="1">
        <f t="shared" si="14"/>
        <v>0.16358796296296296</v>
      </c>
      <c r="AB27" s="1" t="str">
        <f t="shared" si="15"/>
        <v>01:25:00</v>
      </c>
      <c r="AC27" s="1">
        <f t="shared" si="16"/>
        <v>5100</v>
      </c>
      <c r="AD27" s="1">
        <v>5.9027777777777776E-2</v>
      </c>
      <c r="AE27" s="1" t="str">
        <f t="shared" si="17"/>
        <v>00:24:40</v>
      </c>
      <c r="AF27" s="1">
        <f t="shared" si="18"/>
        <v>1480</v>
      </c>
      <c r="AG27" s="1">
        <v>1.712962962962963E-2</v>
      </c>
      <c r="AH27" s="1" t="str">
        <f t="shared" si="19"/>
        <v>00:00:00</v>
      </c>
      <c r="AI27" s="1">
        <f t="shared" si="20"/>
        <v>0</v>
      </c>
      <c r="AJ27" s="1">
        <v>0</v>
      </c>
      <c r="AK27" s="1">
        <v>0</v>
      </c>
      <c r="AL27" s="1">
        <v>0</v>
      </c>
    </row>
    <row r="28" spans="1:38">
      <c r="A28" t="str">
        <f t="shared" si="0"/>
        <v>20240725</v>
      </c>
      <c r="B28" s="2">
        <v>45498</v>
      </c>
      <c r="C28" s="1" t="s">
        <v>38</v>
      </c>
      <c r="D28" s="1" t="s">
        <v>42</v>
      </c>
      <c r="E28" s="1" t="s">
        <v>40</v>
      </c>
      <c r="F28" s="1">
        <v>200</v>
      </c>
      <c r="G28" s="1">
        <v>198</v>
      </c>
      <c r="H28" s="1">
        <v>2</v>
      </c>
      <c r="I28" s="1" t="str">
        <f t="shared" si="1"/>
        <v>00:00:00</v>
      </c>
      <c r="J28" s="1">
        <f t="shared" si="2"/>
        <v>0</v>
      </c>
      <c r="K28" s="1">
        <v>0</v>
      </c>
      <c r="L28" s="1" t="str">
        <f t="shared" si="3"/>
        <v>00:00:11</v>
      </c>
      <c r="M28" s="1">
        <f t="shared" si="4"/>
        <v>10.999999999999998</v>
      </c>
      <c r="N28" s="1">
        <v>1.273148148148148E-4</v>
      </c>
      <c r="O28" s="1">
        <v>183</v>
      </c>
      <c r="P28" s="1" t="str">
        <f t="shared" si="5"/>
        <v>00:12:48</v>
      </c>
      <c r="Q28" s="1">
        <f t="shared" si="6"/>
        <v>768</v>
      </c>
      <c r="R28" s="1">
        <v>8.8888888888888889E-3</v>
      </c>
      <c r="S28" s="1" t="str">
        <f t="shared" si="7"/>
        <v>18:14:24</v>
      </c>
      <c r="T28" s="1">
        <f t="shared" si="8"/>
        <v>152064</v>
      </c>
      <c r="U28" s="1">
        <f t="shared" si="9"/>
        <v>1.76</v>
      </c>
      <c r="V28" s="1" t="str">
        <f t="shared" si="10"/>
        <v>00:09:03</v>
      </c>
      <c r="W28" s="1">
        <f t="shared" si="11"/>
        <v>543</v>
      </c>
      <c r="X28" s="1">
        <v>6.2847222222222219E-3</v>
      </c>
      <c r="Y28" s="1" t="str">
        <f t="shared" si="12"/>
        <v>05:51:54</v>
      </c>
      <c r="Z28" s="1">
        <f t="shared" si="13"/>
        <v>107514</v>
      </c>
      <c r="AA28" s="1">
        <f t="shared" si="14"/>
        <v>1.244375</v>
      </c>
      <c r="AB28" s="1" t="str">
        <f t="shared" si="15"/>
        <v>10:09:00</v>
      </c>
      <c r="AC28" s="1">
        <f t="shared" si="16"/>
        <v>36540</v>
      </c>
      <c r="AD28" s="1">
        <v>0.42291666666666666</v>
      </c>
      <c r="AE28" s="1" t="str">
        <f t="shared" si="17"/>
        <v>02:12:00</v>
      </c>
      <c r="AF28" s="1">
        <f t="shared" si="18"/>
        <v>7920.0000000000009</v>
      </c>
      <c r="AG28" s="1">
        <v>9.1666666666666674E-2</v>
      </c>
      <c r="AH28" s="1" t="str">
        <f t="shared" si="19"/>
        <v>00:00:00</v>
      </c>
      <c r="AI28" s="1">
        <f t="shared" si="20"/>
        <v>0</v>
      </c>
      <c r="AJ28" s="1">
        <v>0</v>
      </c>
      <c r="AK28" s="1">
        <v>0</v>
      </c>
      <c r="AL28" s="1">
        <v>0</v>
      </c>
    </row>
    <row r="29" spans="1:38">
      <c r="A29" t="str">
        <f t="shared" si="0"/>
        <v>20240726</v>
      </c>
      <c r="B29" s="2">
        <v>45499</v>
      </c>
      <c r="C29" s="1" t="s">
        <v>38</v>
      </c>
      <c r="D29" s="1" t="s">
        <v>39</v>
      </c>
      <c r="E29" s="1" t="s">
        <v>40</v>
      </c>
      <c r="F29" s="1">
        <v>61</v>
      </c>
      <c r="G29" s="1">
        <v>52</v>
      </c>
      <c r="H29" s="1">
        <v>9</v>
      </c>
      <c r="I29" s="1" t="str">
        <f t="shared" si="1"/>
        <v>00:00:00</v>
      </c>
      <c r="J29" s="1">
        <f t="shared" si="2"/>
        <v>0</v>
      </c>
      <c r="K29" s="1">
        <v>0</v>
      </c>
      <c r="L29" s="1" t="str">
        <f t="shared" si="3"/>
        <v>00:00:06</v>
      </c>
      <c r="M29" s="1">
        <f t="shared" si="4"/>
        <v>6</v>
      </c>
      <c r="N29" s="1">
        <v>6.9444444444444444E-5</v>
      </c>
      <c r="O29" s="1">
        <v>48.999999999999986</v>
      </c>
      <c r="P29" s="1" t="str">
        <f t="shared" si="5"/>
        <v>00:06:39</v>
      </c>
      <c r="Q29" s="1">
        <f t="shared" si="6"/>
        <v>399</v>
      </c>
      <c r="R29" s="1">
        <v>4.6180555555555558E-3</v>
      </c>
      <c r="S29" s="1" t="str">
        <f t="shared" si="7"/>
        <v>05:45:48</v>
      </c>
      <c r="T29" s="1">
        <f t="shared" si="8"/>
        <v>20748</v>
      </c>
      <c r="U29" s="1">
        <f t="shared" si="9"/>
        <v>0.2401388888888889</v>
      </c>
      <c r="V29" s="1" t="str">
        <f t="shared" si="10"/>
        <v>00:05:12</v>
      </c>
      <c r="W29" s="1">
        <f t="shared" si="11"/>
        <v>312</v>
      </c>
      <c r="X29" s="1">
        <v>3.6111111111111109E-3</v>
      </c>
      <c r="Y29" s="1" t="str">
        <f t="shared" si="12"/>
        <v>04:30:24</v>
      </c>
      <c r="Z29" s="1">
        <f t="shared" si="13"/>
        <v>16223.999999999998</v>
      </c>
      <c r="AA29" s="1">
        <f t="shared" si="14"/>
        <v>0.18777777777777777</v>
      </c>
      <c r="AB29" s="1" t="str">
        <f t="shared" si="15"/>
        <v>01:36:54</v>
      </c>
      <c r="AC29" s="1">
        <f t="shared" si="16"/>
        <v>5814</v>
      </c>
      <c r="AD29" s="1">
        <v>6.7291666666666666E-2</v>
      </c>
      <c r="AE29" s="1" t="str">
        <f t="shared" si="17"/>
        <v>00:29:28</v>
      </c>
      <c r="AF29" s="1">
        <f t="shared" si="18"/>
        <v>1768</v>
      </c>
      <c r="AG29" s="1">
        <v>2.0462962962962964E-2</v>
      </c>
      <c r="AH29" s="1" t="str">
        <f t="shared" si="19"/>
        <v>00:00:00</v>
      </c>
      <c r="AI29" s="1">
        <f t="shared" si="20"/>
        <v>0</v>
      </c>
      <c r="AJ29" s="1">
        <v>0</v>
      </c>
      <c r="AK29" s="1">
        <v>0</v>
      </c>
      <c r="AL29" s="1">
        <v>0</v>
      </c>
    </row>
    <row r="30" spans="1:38">
      <c r="A30" t="str">
        <f t="shared" si="0"/>
        <v>20240726</v>
      </c>
      <c r="B30" s="2">
        <v>45499</v>
      </c>
      <c r="C30" s="1" t="s">
        <v>38</v>
      </c>
      <c r="D30" s="1" t="s">
        <v>41</v>
      </c>
      <c r="E30" s="1" t="s">
        <v>40</v>
      </c>
      <c r="F30" s="1">
        <v>42</v>
      </c>
      <c r="G30" s="1">
        <v>28</v>
      </c>
      <c r="H30" s="1">
        <v>14</v>
      </c>
      <c r="I30" s="1" t="str">
        <f t="shared" si="1"/>
        <v>00:00:00</v>
      </c>
      <c r="J30" s="1">
        <f t="shared" si="2"/>
        <v>0</v>
      </c>
      <c r="K30" s="1">
        <v>0</v>
      </c>
      <c r="L30" s="1" t="str">
        <f t="shared" si="3"/>
        <v>00:01:41</v>
      </c>
      <c r="M30" s="1">
        <f t="shared" si="4"/>
        <v>101.00000000000001</v>
      </c>
      <c r="N30" s="1">
        <v>1.1689814814814816E-3</v>
      </c>
      <c r="O30" s="1">
        <v>23.999999999999979</v>
      </c>
      <c r="P30" s="1" t="str">
        <f t="shared" si="5"/>
        <v>00:08:12</v>
      </c>
      <c r="Q30" s="1">
        <f t="shared" si="6"/>
        <v>492</v>
      </c>
      <c r="R30" s="1">
        <v>5.6944444444444447E-3</v>
      </c>
      <c r="S30" s="1" t="str">
        <f t="shared" si="7"/>
        <v>03:49:36</v>
      </c>
      <c r="T30" s="1">
        <f t="shared" si="8"/>
        <v>13776</v>
      </c>
      <c r="U30" s="1">
        <f t="shared" si="9"/>
        <v>0.15944444444444444</v>
      </c>
      <c r="V30" s="1" t="str">
        <f t="shared" si="10"/>
        <v>00:05:53</v>
      </c>
      <c r="W30" s="1">
        <f t="shared" si="11"/>
        <v>353</v>
      </c>
      <c r="X30" s="1">
        <v>4.0856481481481481E-3</v>
      </c>
      <c r="Y30" s="1" t="str">
        <f t="shared" si="12"/>
        <v>02:44:44</v>
      </c>
      <c r="Z30" s="1">
        <f t="shared" si="13"/>
        <v>9884</v>
      </c>
      <c r="AA30" s="1">
        <f t="shared" si="14"/>
        <v>0.11439814814814815</v>
      </c>
      <c r="AB30" s="1" t="str">
        <f t="shared" si="15"/>
        <v>00:44:25</v>
      </c>
      <c r="AC30" s="1">
        <f t="shared" si="16"/>
        <v>2665</v>
      </c>
      <c r="AD30" s="1">
        <v>3.0844907407407408E-2</v>
      </c>
      <c r="AE30" s="1" t="str">
        <f t="shared" si="17"/>
        <v>00:20:32</v>
      </c>
      <c r="AF30" s="1">
        <f t="shared" si="18"/>
        <v>1232</v>
      </c>
      <c r="AG30" s="1">
        <v>1.4259259259259258E-2</v>
      </c>
      <c r="AH30" s="1" t="str">
        <f t="shared" si="19"/>
        <v>00:00:00</v>
      </c>
      <c r="AI30" s="1">
        <f t="shared" si="20"/>
        <v>0</v>
      </c>
      <c r="AJ30" s="1">
        <v>0</v>
      </c>
      <c r="AK30" s="1">
        <v>0</v>
      </c>
      <c r="AL30" s="1">
        <v>0</v>
      </c>
    </row>
    <row r="31" spans="1:38">
      <c r="A31" t="str">
        <f t="shared" si="0"/>
        <v>20240726</v>
      </c>
      <c r="B31" s="2">
        <v>45499</v>
      </c>
      <c r="C31" s="1" t="s">
        <v>38</v>
      </c>
      <c r="D31" s="1" t="s">
        <v>42</v>
      </c>
      <c r="E31" s="1" t="s">
        <v>40</v>
      </c>
      <c r="F31" s="1">
        <v>232</v>
      </c>
      <c r="G31" s="1">
        <v>225</v>
      </c>
      <c r="H31" s="1">
        <v>7</v>
      </c>
      <c r="I31" s="1" t="str">
        <f t="shared" si="1"/>
        <v>00:00:00</v>
      </c>
      <c r="J31" s="1">
        <f t="shared" si="2"/>
        <v>0</v>
      </c>
      <c r="K31" s="1">
        <v>0</v>
      </c>
      <c r="L31" s="1" t="str">
        <f t="shared" si="3"/>
        <v>00:01:02</v>
      </c>
      <c r="M31" s="1">
        <f t="shared" si="4"/>
        <v>62</v>
      </c>
      <c r="N31" s="1">
        <v>7.1759259259259259E-4</v>
      </c>
      <c r="O31" s="1">
        <v>170.99999999999991</v>
      </c>
      <c r="P31" s="1" t="str">
        <f t="shared" si="5"/>
        <v>00:10:19</v>
      </c>
      <c r="Q31" s="1">
        <f t="shared" si="6"/>
        <v>619</v>
      </c>
      <c r="R31" s="1">
        <v>7.1643518518518514E-3</v>
      </c>
      <c r="S31" s="1" t="str">
        <f t="shared" si="7"/>
        <v>14:41:15</v>
      </c>
      <c r="T31" s="1">
        <f t="shared" si="8"/>
        <v>139275</v>
      </c>
      <c r="U31" s="1">
        <f t="shared" si="9"/>
        <v>1.6119791666666665</v>
      </c>
      <c r="V31" s="1" t="str">
        <f t="shared" si="10"/>
        <v>00:07:33</v>
      </c>
      <c r="W31" s="1">
        <f t="shared" si="11"/>
        <v>453</v>
      </c>
      <c r="X31" s="1">
        <v>5.2430555555555555E-3</v>
      </c>
      <c r="Y31" s="1" t="str">
        <f t="shared" si="12"/>
        <v>04:18:45</v>
      </c>
      <c r="Z31" s="1">
        <f t="shared" si="13"/>
        <v>101925</v>
      </c>
      <c r="AA31" s="1">
        <f t="shared" si="14"/>
        <v>1.1796875</v>
      </c>
      <c r="AB31" s="1" t="str">
        <f t="shared" si="15"/>
        <v>07:54:30</v>
      </c>
      <c r="AC31" s="1">
        <f t="shared" si="16"/>
        <v>28470</v>
      </c>
      <c r="AD31" s="1">
        <v>0.32951388888888888</v>
      </c>
      <c r="AE31" s="1" t="str">
        <f t="shared" si="17"/>
        <v>02:30:00</v>
      </c>
      <c r="AF31" s="1">
        <f t="shared" si="18"/>
        <v>9000</v>
      </c>
      <c r="AG31" s="1">
        <v>0.10416666666666667</v>
      </c>
      <c r="AH31" s="1" t="str">
        <f t="shared" si="19"/>
        <v>00:00:00</v>
      </c>
      <c r="AI31" s="1">
        <f t="shared" si="20"/>
        <v>0</v>
      </c>
      <c r="AJ31" s="1">
        <v>0</v>
      </c>
      <c r="AK31" s="1">
        <v>0</v>
      </c>
      <c r="AL31" s="1">
        <v>0</v>
      </c>
    </row>
    <row r="32" spans="1:38">
      <c r="A32" t="str">
        <f t="shared" si="0"/>
        <v>20240727</v>
      </c>
      <c r="B32" s="2">
        <v>45500</v>
      </c>
      <c r="C32" s="1" t="s">
        <v>38</v>
      </c>
      <c r="D32" s="1" t="s">
        <v>39</v>
      </c>
      <c r="E32" s="1" t="s">
        <v>40</v>
      </c>
      <c r="F32" s="1">
        <v>50</v>
      </c>
      <c r="G32" s="1">
        <v>50</v>
      </c>
      <c r="H32" s="1">
        <v>0</v>
      </c>
      <c r="I32" s="1" t="str">
        <f t="shared" si="1"/>
        <v>00:00:00</v>
      </c>
      <c r="J32" s="1">
        <f t="shared" si="2"/>
        <v>0</v>
      </c>
      <c r="K32" s="1">
        <v>0</v>
      </c>
      <c r="L32" s="1" t="str">
        <f t="shared" si="3"/>
        <v>00:00:05</v>
      </c>
      <c r="M32" s="1">
        <f t="shared" si="4"/>
        <v>5</v>
      </c>
      <c r="N32" s="1">
        <v>5.7870370370370373E-5</v>
      </c>
      <c r="O32" s="1">
        <v>48</v>
      </c>
      <c r="P32" s="1" t="str">
        <f t="shared" si="5"/>
        <v>00:07:51</v>
      </c>
      <c r="Q32" s="1">
        <f t="shared" si="6"/>
        <v>471.00000000000006</v>
      </c>
      <c r="R32" s="1">
        <v>5.4513888888888893E-3</v>
      </c>
      <c r="S32" s="1" t="str">
        <f t="shared" si="7"/>
        <v>06:32:30</v>
      </c>
      <c r="T32" s="1">
        <f t="shared" si="8"/>
        <v>23550.000000000004</v>
      </c>
      <c r="U32" s="1">
        <f t="shared" si="9"/>
        <v>0.27256944444444448</v>
      </c>
      <c r="V32" s="1" t="str">
        <f t="shared" si="10"/>
        <v>00:05:45</v>
      </c>
      <c r="W32" s="1">
        <f t="shared" si="11"/>
        <v>345</v>
      </c>
      <c r="X32" s="1">
        <v>3.9930555555555552E-3</v>
      </c>
      <c r="Y32" s="1" t="str">
        <f t="shared" si="12"/>
        <v>04:47:30</v>
      </c>
      <c r="Z32" s="1">
        <f t="shared" si="13"/>
        <v>17250</v>
      </c>
      <c r="AA32" s="1">
        <f t="shared" si="14"/>
        <v>0.19965277777777776</v>
      </c>
      <c r="AB32" s="1" t="str">
        <f t="shared" si="15"/>
        <v>01:13:57</v>
      </c>
      <c r="AC32" s="1">
        <f t="shared" si="16"/>
        <v>4437</v>
      </c>
      <c r="AD32" s="1">
        <v>5.1354166666666666E-2</v>
      </c>
      <c r="AE32" s="1" t="str">
        <f t="shared" si="17"/>
        <v>00:32:30</v>
      </c>
      <c r="AF32" s="1">
        <f t="shared" si="18"/>
        <v>1950</v>
      </c>
      <c r="AG32" s="1">
        <v>2.2569444444444444E-2</v>
      </c>
      <c r="AH32" s="1" t="str">
        <f t="shared" si="19"/>
        <v>00:00:00</v>
      </c>
      <c r="AI32" s="1">
        <f t="shared" si="20"/>
        <v>0</v>
      </c>
      <c r="AJ32" s="1">
        <v>0</v>
      </c>
      <c r="AK32" s="1">
        <v>0</v>
      </c>
      <c r="AL32" s="1">
        <v>0</v>
      </c>
    </row>
    <row r="33" spans="1:38">
      <c r="A33" t="str">
        <f t="shared" si="0"/>
        <v>20240727</v>
      </c>
      <c r="B33" s="2">
        <v>45500</v>
      </c>
      <c r="C33" s="1" t="s">
        <v>38</v>
      </c>
      <c r="D33" s="1" t="s">
        <v>41</v>
      </c>
      <c r="E33" s="1" t="s">
        <v>40</v>
      </c>
      <c r="F33" s="1">
        <v>1</v>
      </c>
      <c r="G33" s="1">
        <v>1</v>
      </c>
      <c r="H33" s="1">
        <v>0</v>
      </c>
      <c r="I33" s="1" t="str">
        <f t="shared" si="1"/>
        <v>00:00:00</v>
      </c>
      <c r="J33" s="1">
        <f t="shared" si="2"/>
        <v>0</v>
      </c>
      <c r="K33" s="1">
        <v>0</v>
      </c>
      <c r="L33" s="1" t="str">
        <f t="shared" si="3"/>
        <v>00:00:11</v>
      </c>
      <c r="M33" s="1">
        <f t="shared" si="4"/>
        <v>10.999999999999998</v>
      </c>
      <c r="N33" s="1">
        <v>1.273148148148148E-4</v>
      </c>
      <c r="O33" s="1">
        <v>1</v>
      </c>
      <c r="P33" s="1" t="str">
        <f t="shared" si="5"/>
        <v>00:05:09</v>
      </c>
      <c r="Q33" s="1">
        <f t="shared" si="6"/>
        <v>309</v>
      </c>
      <c r="R33" s="1">
        <v>3.5763888888888889E-3</v>
      </c>
      <c r="S33" s="1" t="str">
        <f t="shared" si="7"/>
        <v>00:05:09</v>
      </c>
      <c r="T33" s="1">
        <f t="shared" si="8"/>
        <v>309</v>
      </c>
      <c r="U33" s="1">
        <f t="shared" si="9"/>
        <v>3.5763888888888889E-3</v>
      </c>
      <c r="V33" s="1" t="str">
        <f t="shared" si="10"/>
        <v>00:03:01</v>
      </c>
      <c r="W33" s="1">
        <f t="shared" si="11"/>
        <v>181</v>
      </c>
      <c r="X33" s="1">
        <v>2.0949074074074073E-3</v>
      </c>
      <c r="Y33" s="1" t="str">
        <f t="shared" si="12"/>
        <v>00:03:01</v>
      </c>
      <c r="Z33" s="1">
        <f t="shared" si="13"/>
        <v>181</v>
      </c>
      <c r="AA33" s="1">
        <f t="shared" si="14"/>
        <v>2.0949074074074073E-3</v>
      </c>
      <c r="AB33" s="1" t="str">
        <f t="shared" si="15"/>
        <v>00:02:06</v>
      </c>
      <c r="AC33" s="1">
        <f t="shared" si="16"/>
        <v>126</v>
      </c>
      <c r="AD33" s="1">
        <v>1.4583333333333334E-3</v>
      </c>
      <c r="AE33" s="1" t="str">
        <f t="shared" si="17"/>
        <v>00:00:02</v>
      </c>
      <c r="AF33" s="1">
        <f t="shared" si="18"/>
        <v>2</v>
      </c>
      <c r="AG33" s="1">
        <v>2.3148148148148147E-5</v>
      </c>
      <c r="AH33" s="1" t="str">
        <f t="shared" si="19"/>
        <v>00:00:00</v>
      </c>
      <c r="AI33" s="1">
        <f t="shared" si="20"/>
        <v>0</v>
      </c>
      <c r="AJ33" s="1">
        <v>0</v>
      </c>
      <c r="AK33" s="1">
        <v>0</v>
      </c>
      <c r="AL33" s="1">
        <v>0</v>
      </c>
    </row>
    <row r="34" spans="1:38">
      <c r="A34" t="str">
        <f t="shared" si="0"/>
        <v>20240727</v>
      </c>
      <c r="B34" s="2">
        <v>45500</v>
      </c>
      <c r="C34" s="1" t="s">
        <v>38</v>
      </c>
      <c r="D34" s="1" t="s">
        <v>42</v>
      </c>
      <c r="E34" s="1" t="s">
        <v>40</v>
      </c>
      <c r="F34" s="1">
        <v>159</v>
      </c>
      <c r="G34" s="1">
        <v>157</v>
      </c>
      <c r="H34" s="1">
        <v>2</v>
      </c>
      <c r="I34" s="1" t="str">
        <f t="shared" si="1"/>
        <v>00:00:00</v>
      </c>
      <c r="J34" s="1">
        <f t="shared" si="2"/>
        <v>0</v>
      </c>
      <c r="K34" s="1">
        <v>0</v>
      </c>
      <c r="L34" s="1" t="str">
        <f t="shared" si="3"/>
        <v>00:00:07</v>
      </c>
      <c r="M34" s="1">
        <f t="shared" si="4"/>
        <v>7</v>
      </c>
      <c r="N34" s="1">
        <v>8.1018518518518516E-5</v>
      </c>
      <c r="O34" s="1">
        <v>146.99999999999994</v>
      </c>
      <c r="P34" s="1" t="str">
        <f t="shared" si="5"/>
        <v>00:10:03</v>
      </c>
      <c r="Q34" s="1">
        <f t="shared" si="6"/>
        <v>603</v>
      </c>
      <c r="R34" s="1">
        <v>6.9791666666666665E-3</v>
      </c>
      <c r="S34" s="1" t="str">
        <f t="shared" si="7"/>
        <v>02:17:51</v>
      </c>
      <c r="T34" s="1">
        <f t="shared" si="8"/>
        <v>94671</v>
      </c>
      <c r="U34" s="1">
        <f t="shared" si="9"/>
        <v>1.0957291666666666</v>
      </c>
      <c r="V34" s="1" t="str">
        <f t="shared" si="10"/>
        <v>00:07:18</v>
      </c>
      <c r="W34" s="1">
        <f t="shared" si="11"/>
        <v>438</v>
      </c>
      <c r="X34" s="1">
        <v>5.0694444444444441E-3</v>
      </c>
      <c r="Y34" s="1" t="str">
        <f t="shared" si="12"/>
        <v>19:06:06</v>
      </c>
      <c r="Z34" s="1">
        <f t="shared" si="13"/>
        <v>68766</v>
      </c>
      <c r="AA34" s="1">
        <f t="shared" si="14"/>
        <v>0.79590277777777774</v>
      </c>
      <c r="AB34" s="1" t="str">
        <f t="shared" si="15"/>
        <v>05:24:51</v>
      </c>
      <c r="AC34" s="1">
        <f t="shared" si="16"/>
        <v>19491</v>
      </c>
      <c r="AD34" s="1">
        <v>0.22559027777777776</v>
      </c>
      <c r="AE34" s="1" t="str">
        <f t="shared" si="17"/>
        <v>01:47:17</v>
      </c>
      <c r="AF34" s="1">
        <f t="shared" si="18"/>
        <v>6437</v>
      </c>
      <c r="AG34" s="1">
        <v>7.4502314814814813E-2</v>
      </c>
      <c r="AH34" s="1" t="str">
        <f t="shared" si="19"/>
        <v>00:00:00</v>
      </c>
      <c r="AI34" s="1">
        <f t="shared" si="20"/>
        <v>0</v>
      </c>
      <c r="AJ34" s="1">
        <v>0</v>
      </c>
      <c r="AK34" s="1">
        <v>0</v>
      </c>
      <c r="AL34" s="1">
        <v>0</v>
      </c>
    </row>
    <row r="35" spans="1:38">
      <c r="A35" t="str">
        <f t="shared" si="0"/>
        <v>20240728</v>
      </c>
      <c r="B35" s="2">
        <v>45501</v>
      </c>
      <c r="C35" s="1" t="s">
        <v>38</v>
      </c>
      <c r="D35" s="1" t="s">
        <v>39</v>
      </c>
      <c r="E35" s="1" t="s">
        <v>40</v>
      </c>
      <c r="F35" s="1">
        <v>4</v>
      </c>
      <c r="G35" s="1">
        <v>3</v>
      </c>
      <c r="H35" s="1">
        <v>1</v>
      </c>
      <c r="I35" s="1" t="str">
        <f t="shared" si="1"/>
        <v>00:00:00</v>
      </c>
      <c r="J35" s="1">
        <f t="shared" si="2"/>
        <v>0</v>
      </c>
      <c r="K35" s="1">
        <v>0</v>
      </c>
      <c r="L35" s="1" t="str">
        <f t="shared" si="3"/>
        <v>00:00:02</v>
      </c>
      <c r="M35" s="1">
        <f t="shared" si="4"/>
        <v>2</v>
      </c>
      <c r="N35" s="1">
        <v>2.3148148148148147E-5</v>
      </c>
      <c r="O35" s="1">
        <v>3</v>
      </c>
      <c r="P35" s="1" t="str">
        <f t="shared" si="5"/>
        <v>00:06:25</v>
      </c>
      <c r="Q35" s="1">
        <f t="shared" si="6"/>
        <v>385.00000000000006</v>
      </c>
      <c r="R35" s="1">
        <v>4.4560185185185189E-3</v>
      </c>
      <c r="S35" s="1" t="str">
        <f t="shared" si="7"/>
        <v>00:19:15</v>
      </c>
      <c r="T35" s="1">
        <f t="shared" si="8"/>
        <v>1155</v>
      </c>
      <c r="U35" s="1">
        <f t="shared" si="9"/>
        <v>1.3368055555555557E-2</v>
      </c>
      <c r="V35" s="1" t="str">
        <f t="shared" si="10"/>
        <v>00:04:17</v>
      </c>
      <c r="W35" s="1">
        <f t="shared" si="11"/>
        <v>257</v>
      </c>
      <c r="X35" s="1">
        <v>2.9745370370370373E-3</v>
      </c>
      <c r="Y35" s="1" t="str">
        <f t="shared" si="12"/>
        <v>00:12:51</v>
      </c>
      <c r="Z35" s="1">
        <f t="shared" si="13"/>
        <v>771</v>
      </c>
      <c r="AA35" s="1">
        <f t="shared" si="14"/>
        <v>8.9236111111111113E-3</v>
      </c>
      <c r="AB35" s="1" t="str">
        <f t="shared" si="15"/>
        <v>00:04:54</v>
      </c>
      <c r="AC35" s="1">
        <f t="shared" si="16"/>
        <v>294</v>
      </c>
      <c r="AD35" s="1">
        <v>3.4027777777777776E-3</v>
      </c>
      <c r="AE35" s="1" t="str">
        <f t="shared" si="17"/>
        <v>00:01:33</v>
      </c>
      <c r="AF35" s="1">
        <f t="shared" si="18"/>
        <v>93</v>
      </c>
      <c r="AG35" s="1">
        <v>1.0763888888888889E-3</v>
      </c>
      <c r="AH35" s="1" t="str">
        <f t="shared" si="19"/>
        <v>00:00:00</v>
      </c>
      <c r="AI35" s="1">
        <f t="shared" si="20"/>
        <v>0</v>
      </c>
      <c r="AJ35" s="1">
        <v>0</v>
      </c>
      <c r="AK35" s="1">
        <v>0</v>
      </c>
      <c r="AL35" s="1">
        <v>0</v>
      </c>
    </row>
    <row r="36" spans="1:38">
      <c r="A36" t="str">
        <f t="shared" si="0"/>
        <v>20240728</v>
      </c>
      <c r="B36" s="2">
        <v>45501</v>
      </c>
      <c r="C36" s="1" t="s">
        <v>38</v>
      </c>
      <c r="D36" s="1" t="s">
        <v>41</v>
      </c>
      <c r="E36" s="1" t="s">
        <v>40</v>
      </c>
      <c r="F36" s="1">
        <v>0</v>
      </c>
      <c r="G36" s="1">
        <v>0</v>
      </c>
      <c r="H36" s="1">
        <v>0</v>
      </c>
      <c r="I36" s="1" t="str">
        <f t="shared" si="1"/>
        <v>00:00:00</v>
      </c>
      <c r="J36" s="1">
        <f t="shared" si="2"/>
        <v>0</v>
      </c>
      <c r="K36" s="1">
        <v>0</v>
      </c>
      <c r="L36" s="1" t="str">
        <f t="shared" si="3"/>
        <v>00:00:00</v>
      </c>
      <c r="M36" s="1">
        <f t="shared" si="4"/>
        <v>0</v>
      </c>
      <c r="N36" s="1">
        <v>0</v>
      </c>
      <c r="O36" s="1">
        <v>0</v>
      </c>
      <c r="P36" s="1" t="str">
        <f t="shared" si="5"/>
        <v>00:00:00</v>
      </c>
      <c r="Q36" s="1">
        <f t="shared" si="6"/>
        <v>0</v>
      </c>
      <c r="R36" s="1">
        <v>0</v>
      </c>
      <c r="S36" s="1" t="str">
        <f t="shared" si="7"/>
        <v>00:00:00</v>
      </c>
      <c r="T36" s="1">
        <f t="shared" si="8"/>
        <v>0</v>
      </c>
      <c r="U36" s="1">
        <f t="shared" si="9"/>
        <v>0</v>
      </c>
      <c r="V36" s="1" t="str">
        <f t="shared" si="10"/>
        <v>00:00:00</v>
      </c>
      <c r="W36" s="1">
        <f t="shared" si="11"/>
        <v>0</v>
      </c>
      <c r="X36" s="1">
        <v>0</v>
      </c>
      <c r="Y36" s="1" t="str">
        <f t="shared" si="12"/>
        <v>00:00:00</v>
      </c>
      <c r="Z36" s="1">
        <f t="shared" si="13"/>
        <v>0</v>
      </c>
      <c r="AA36" s="1">
        <f t="shared" si="14"/>
        <v>0</v>
      </c>
      <c r="AB36" s="1" t="str">
        <f t="shared" si="15"/>
        <v>00:00:00</v>
      </c>
      <c r="AC36" s="1">
        <f t="shared" si="16"/>
        <v>0</v>
      </c>
      <c r="AD36" s="1">
        <v>0</v>
      </c>
      <c r="AE36" s="1" t="str">
        <f t="shared" si="17"/>
        <v>00:00:00</v>
      </c>
      <c r="AF36" s="1">
        <f t="shared" si="18"/>
        <v>0</v>
      </c>
      <c r="AG36" s="1">
        <v>0</v>
      </c>
      <c r="AH36" s="1" t="str">
        <f t="shared" si="19"/>
        <v>00:00:00</v>
      </c>
      <c r="AI36" s="1">
        <f t="shared" si="20"/>
        <v>0</v>
      </c>
      <c r="AJ36" s="1">
        <v>0</v>
      </c>
      <c r="AK36" s="1">
        <v>0</v>
      </c>
      <c r="AL36" s="1">
        <v>0</v>
      </c>
    </row>
    <row r="37" spans="1:38">
      <c r="A37" t="str">
        <f t="shared" si="0"/>
        <v>20240728</v>
      </c>
      <c r="B37" s="2">
        <v>45501</v>
      </c>
      <c r="C37" s="1" t="s">
        <v>38</v>
      </c>
      <c r="D37" s="1" t="s">
        <v>42</v>
      </c>
      <c r="E37" s="1" t="s">
        <v>40</v>
      </c>
      <c r="F37" s="1">
        <v>10</v>
      </c>
      <c r="G37" s="1">
        <v>10</v>
      </c>
      <c r="H37" s="1">
        <v>0</v>
      </c>
      <c r="I37" s="1" t="str">
        <f t="shared" si="1"/>
        <v>00:00:00</v>
      </c>
      <c r="J37" s="1">
        <f t="shared" si="2"/>
        <v>0</v>
      </c>
      <c r="K37" s="1">
        <v>0</v>
      </c>
      <c r="L37" s="1" t="str">
        <f t="shared" si="3"/>
        <v>00:00:02</v>
      </c>
      <c r="M37" s="1">
        <f t="shared" si="4"/>
        <v>2</v>
      </c>
      <c r="N37" s="1">
        <v>2.3148148148148147E-5</v>
      </c>
      <c r="O37" s="1">
        <v>10</v>
      </c>
      <c r="P37" s="1" t="str">
        <f t="shared" si="5"/>
        <v>00:11:04</v>
      </c>
      <c r="Q37" s="1">
        <f t="shared" si="6"/>
        <v>664</v>
      </c>
      <c r="R37" s="1">
        <v>7.6851851851851855E-3</v>
      </c>
      <c r="S37" s="1" t="str">
        <f t="shared" si="7"/>
        <v>01:50:40</v>
      </c>
      <c r="T37" s="1">
        <f t="shared" si="8"/>
        <v>6640</v>
      </c>
      <c r="U37" s="1">
        <f t="shared" si="9"/>
        <v>7.6851851851851852E-2</v>
      </c>
      <c r="V37" s="1" t="str">
        <f t="shared" si="10"/>
        <v>00:08:21</v>
      </c>
      <c r="W37" s="1">
        <f t="shared" si="11"/>
        <v>501</v>
      </c>
      <c r="X37" s="1">
        <v>5.7986111111111112E-3</v>
      </c>
      <c r="Y37" s="1" t="str">
        <f t="shared" si="12"/>
        <v>01:23:30</v>
      </c>
      <c r="Z37" s="1">
        <f t="shared" si="13"/>
        <v>5010</v>
      </c>
      <c r="AA37" s="1">
        <f t="shared" si="14"/>
        <v>5.7986111111111113E-2</v>
      </c>
      <c r="AB37" s="1" t="str">
        <f t="shared" si="15"/>
        <v>00:20:35</v>
      </c>
      <c r="AC37" s="1">
        <f t="shared" si="16"/>
        <v>1235</v>
      </c>
      <c r="AD37" s="1">
        <v>1.4293981481481482E-2</v>
      </c>
      <c r="AE37" s="1" t="str">
        <f t="shared" si="17"/>
        <v>00:06:40</v>
      </c>
      <c r="AF37" s="1">
        <f t="shared" si="18"/>
        <v>400</v>
      </c>
      <c r="AG37" s="1">
        <v>4.6296296296296294E-3</v>
      </c>
      <c r="AH37" s="1" t="str">
        <f t="shared" si="19"/>
        <v>00:00:00</v>
      </c>
      <c r="AI37" s="1">
        <f t="shared" si="20"/>
        <v>0</v>
      </c>
      <c r="AJ37" s="1">
        <v>0</v>
      </c>
      <c r="AK37" s="1">
        <v>0</v>
      </c>
      <c r="AL37" s="1">
        <v>0</v>
      </c>
    </row>
    <row r="38" spans="1:38">
      <c r="A38" t="str">
        <f t="shared" si="0"/>
        <v>20240729</v>
      </c>
      <c r="B38" s="2">
        <v>45502</v>
      </c>
      <c r="C38" s="1" t="s">
        <v>38</v>
      </c>
      <c r="D38" s="1" t="s">
        <v>39</v>
      </c>
      <c r="E38" s="1" t="s">
        <v>40</v>
      </c>
      <c r="F38" s="1">
        <v>62</v>
      </c>
      <c r="G38" s="1">
        <v>60</v>
      </c>
      <c r="H38" s="1">
        <v>2</v>
      </c>
      <c r="I38" s="1" t="str">
        <f t="shared" si="1"/>
        <v>00:00:00</v>
      </c>
      <c r="J38" s="1">
        <f t="shared" si="2"/>
        <v>0</v>
      </c>
      <c r="K38" s="1">
        <v>0</v>
      </c>
      <c r="L38" s="1" t="str">
        <f t="shared" si="3"/>
        <v>00:00:38</v>
      </c>
      <c r="M38" s="1">
        <f t="shared" si="4"/>
        <v>38</v>
      </c>
      <c r="N38" s="1">
        <v>4.3981481481481481E-4</v>
      </c>
      <c r="O38" s="1">
        <v>45.99999999999995</v>
      </c>
      <c r="P38" s="1" t="str">
        <f t="shared" si="5"/>
        <v>00:08:21</v>
      </c>
      <c r="Q38" s="1">
        <f t="shared" si="6"/>
        <v>501</v>
      </c>
      <c r="R38" s="1">
        <v>5.7986111111111112E-3</v>
      </c>
      <c r="S38" s="1" t="str">
        <f t="shared" si="7"/>
        <v>08:21:00</v>
      </c>
      <c r="T38" s="1">
        <f t="shared" si="8"/>
        <v>30060</v>
      </c>
      <c r="U38" s="1">
        <f t="shared" si="9"/>
        <v>0.34791666666666665</v>
      </c>
      <c r="V38" s="1" t="str">
        <f t="shared" si="10"/>
        <v>00:06:30</v>
      </c>
      <c r="W38" s="1">
        <f t="shared" si="11"/>
        <v>389.99999999999994</v>
      </c>
      <c r="X38" s="1">
        <v>4.5138888888888885E-3</v>
      </c>
      <c r="Y38" s="1" t="str">
        <f t="shared" si="12"/>
        <v>06:30:00</v>
      </c>
      <c r="Z38" s="1">
        <f t="shared" si="13"/>
        <v>23400</v>
      </c>
      <c r="AA38" s="1">
        <f t="shared" si="14"/>
        <v>0.27083333333333331</v>
      </c>
      <c r="AB38" s="1" t="str">
        <f t="shared" si="15"/>
        <v>01:52:45</v>
      </c>
      <c r="AC38" s="1">
        <f t="shared" si="16"/>
        <v>6765</v>
      </c>
      <c r="AD38" s="1">
        <v>7.829861111111111E-2</v>
      </c>
      <c r="AE38" s="1" t="str">
        <f t="shared" si="17"/>
        <v>00:34:00</v>
      </c>
      <c r="AF38" s="1">
        <f t="shared" si="18"/>
        <v>2040</v>
      </c>
      <c r="AG38" s="1">
        <v>2.361111111111111E-2</v>
      </c>
      <c r="AH38" s="1" t="str">
        <f t="shared" si="19"/>
        <v>00:00:00</v>
      </c>
      <c r="AI38" s="1">
        <f t="shared" si="20"/>
        <v>0</v>
      </c>
      <c r="AJ38" s="1">
        <v>0</v>
      </c>
      <c r="AK38" s="1">
        <v>0</v>
      </c>
      <c r="AL38" s="1">
        <v>0</v>
      </c>
    </row>
    <row r="39" spans="1:38">
      <c r="A39" t="str">
        <f t="shared" si="0"/>
        <v>20240729</v>
      </c>
      <c r="B39" s="2">
        <v>45502</v>
      </c>
      <c r="C39" s="1" t="s">
        <v>38</v>
      </c>
      <c r="D39" s="1" t="s">
        <v>41</v>
      </c>
      <c r="E39" s="1" t="s">
        <v>40</v>
      </c>
      <c r="F39" s="1">
        <v>35</v>
      </c>
      <c r="G39" s="1">
        <v>35</v>
      </c>
      <c r="H39" s="1">
        <v>0</v>
      </c>
      <c r="I39" s="1" t="str">
        <f t="shared" si="1"/>
        <v>00:00:00</v>
      </c>
      <c r="J39" s="1">
        <f t="shared" si="2"/>
        <v>0</v>
      </c>
      <c r="K39" s="1">
        <v>0</v>
      </c>
      <c r="L39" s="1" t="str">
        <f t="shared" si="3"/>
        <v>00:00:03</v>
      </c>
      <c r="M39" s="1">
        <f t="shared" si="4"/>
        <v>3</v>
      </c>
      <c r="N39" s="1">
        <v>3.4722222222222222E-5</v>
      </c>
      <c r="O39" s="1">
        <v>33.999999999999986</v>
      </c>
      <c r="P39" s="1" t="str">
        <f t="shared" si="5"/>
        <v>00:08:53</v>
      </c>
      <c r="Q39" s="1">
        <f t="shared" si="6"/>
        <v>533</v>
      </c>
      <c r="R39" s="1">
        <v>6.1689814814814819E-3</v>
      </c>
      <c r="S39" s="1" t="str">
        <f t="shared" si="7"/>
        <v>05:10:55</v>
      </c>
      <c r="T39" s="1">
        <f t="shared" si="8"/>
        <v>18655</v>
      </c>
      <c r="U39" s="1">
        <f t="shared" si="9"/>
        <v>0.21591435185185187</v>
      </c>
      <c r="V39" s="1" t="str">
        <f t="shared" si="10"/>
        <v>00:05:59</v>
      </c>
      <c r="W39" s="1">
        <f t="shared" si="11"/>
        <v>358.99999999999994</v>
      </c>
      <c r="X39" s="1">
        <v>4.1550925925925922E-3</v>
      </c>
      <c r="Y39" s="1" t="str">
        <f t="shared" si="12"/>
        <v>03:29:25</v>
      </c>
      <c r="Z39" s="1">
        <f t="shared" si="13"/>
        <v>12565</v>
      </c>
      <c r="AA39" s="1">
        <f t="shared" si="14"/>
        <v>0.14542824074074073</v>
      </c>
      <c r="AB39" s="1" t="str">
        <f t="shared" si="15"/>
        <v>01:16:40</v>
      </c>
      <c r="AC39" s="1">
        <f t="shared" si="16"/>
        <v>4600</v>
      </c>
      <c r="AD39" s="1">
        <v>5.3240740740740741E-2</v>
      </c>
      <c r="AE39" s="1" t="str">
        <f t="shared" si="17"/>
        <v>00:24:30</v>
      </c>
      <c r="AF39" s="1">
        <f t="shared" si="18"/>
        <v>1469.9999999999998</v>
      </c>
      <c r="AG39" s="1">
        <v>1.7013888888888887E-2</v>
      </c>
      <c r="AH39" s="1" t="str">
        <f t="shared" si="19"/>
        <v>00:00:00</v>
      </c>
      <c r="AI39" s="1">
        <f t="shared" si="20"/>
        <v>0</v>
      </c>
      <c r="AJ39" s="1">
        <v>0</v>
      </c>
      <c r="AK39" s="1">
        <v>0</v>
      </c>
      <c r="AL39" s="1">
        <v>0</v>
      </c>
    </row>
    <row r="40" spans="1:38">
      <c r="A40" t="str">
        <f t="shared" si="0"/>
        <v>20240729</v>
      </c>
      <c r="B40" s="2">
        <v>45502</v>
      </c>
      <c r="C40" s="1" t="s">
        <v>38</v>
      </c>
      <c r="D40" s="1" t="s">
        <v>42</v>
      </c>
      <c r="E40" s="1" t="s">
        <v>40</v>
      </c>
      <c r="F40" s="1">
        <v>163</v>
      </c>
      <c r="G40" s="1">
        <v>163</v>
      </c>
      <c r="H40" s="1">
        <v>0</v>
      </c>
      <c r="I40" s="1" t="str">
        <f t="shared" si="1"/>
        <v>00:00:00</v>
      </c>
      <c r="J40" s="1">
        <f t="shared" si="2"/>
        <v>0</v>
      </c>
      <c r="K40" s="1">
        <v>0</v>
      </c>
      <c r="L40" s="1" t="str">
        <f t="shared" si="3"/>
        <v>00:00:08</v>
      </c>
      <c r="M40" s="1">
        <f t="shared" si="4"/>
        <v>8</v>
      </c>
      <c r="N40" s="1">
        <v>9.2592592592592588E-5</v>
      </c>
      <c r="O40" s="1">
        <v>151.99999999999986</v>
      </c>
      <c r="P40" s="1" t="str">
        <f t="shared" si="5"/>
        <v>00:11:56</v>
      </c>
      <c r="Q40" s="1">
        <f t="shared" si="6"/>
        <v>716</v>
      </c>
      <c r="R40" s="1">
        <v>8.2870370370370372E-3</v>
      </c>
      <c r="S40" s="1" t="str">
        <f t="shared" si="7"/>
        <v>08:25:08</v>
      </c>
      <c r="T40" s="1">
        <f t="shared" si="8"/>
        <v>116708</v>
      </c>
      <c r="U40" s="1">
        <f t="shared" si="9"/>
        <v>1.350787037037037</v>
      </c>
      <c r="V40" s="1" t="str">
        <f t="shared" si="10"/>
        <v>00:09:00</v>
      </c>
      <c r="W40" s="1">
        <f t="shared" si="11"/>
        <v>540</v>
      </c>
      <c r="X40" s="1">
        <v>6.2500000000000003E-3</v>
      </c>
      <c r="Y40" s="1" t="str">
        <f t="shared" si="12"/>
        <v>00:27:00</v>
      </c>
      <c r="Z40" s="1">
        <f t="shared" si="13"/>
        <v>88020</v>
      </c>
      <c r="AA40" s="1">
        <f t="shared" si="14"/>
        <v>1.01875</v>
      </c>
      <c r="AB40" s="1" t="str">
        <f t="shared" si="15"/>
        <v>05:58:03</v>
      </c>
      <c r="AC40" s="1">
        <f t="shared" si="16"/>
        <v>21483</v>
      </c>
      <c r="AD40" s="1">
        <v>0.24864583333333332</v>
      </c>
      <c r="AE40" s="1" t="str">
        <f t="shared" si="17"/>
        <v>01:59:32</v>
      </c>
      <c r="AF40" s="1">
        <f t="shared" si="18"/>
        <v>7172</v>
      </c>
      <c r="AG40" s="1">
        <v>8.3009259259259255E-2</v>
      </c>
      <c r="AH40" s="1" t="str">
        <f t="shared" si="19"/>
        <v>00:00:00</v>
      </c>
      <c r="AI40" s="1">
        <f t="shared" si="20"/>
        <v>0</v>
      </c>
      <c r="AJ40" s="1">
        <v>0</v>
      </c>
      <c r="AK40" s="1">
        <v>0</v>
      </c>
      <c r="AL40" s="1">
        <v>0</v>
      </c>
    </row>
    <row r="41" spans="1:38">
      <c r="A41" t="str">
        <f t="shared" si="0"/>
        <v>20240730</v>
      </c>
      <c r="B41" s="2">
        <v>45503</v>
      </c>
      <c r="C41" s="1" t="s">
        <v>38</v>
      </c>
      <c r="D41" s="1" t="s">
        <v>39</v>
      </c>
      <c r="E41" s="1" t="s">
        <v>40</v>
      </c>
      <c r="F41" s="1">
        <v>284</v>
      </c>
      <c r="G41" s="1">
        <v>281</v>
      </c>
      <c r="H41" s="1">
        <v>3</v>
      </c>
      <c r="I41" s="1" t="str">
        <f t="shared" si="1"/>
        <v>00:00:00</v>
      </c>
      <c r="J41" s="1">
        <f t="shared" si="2"/>
        <v>0</v>
      </c>
      <c r="K41" s="1">
        <v>0</v>
      </c>
      <c r="L41" s="1" t="str">
        <f t="shared" si="3"/>
        <v>00:00:11</v>
      </c>
      <c r="M41" s="1">
        <f t="shared" si="4"/>
        <v>10.999999999999998</v>
      </c>
      <c r="N41" s="1">
        <v>1.273148148148148E-4</v>
      </c>
      <c r="O41" s="1">
        <v>263</v>
      </c>
      <c r="P41" s="1" t="str">
        <f t="shared" si="5"/>
        <v>00:11:01</v>
      </c>
      <c r="Q41" s="1">
        <f t="shared" si="6"/>
        <v>661</v>
      </c>
      <c r="R41" s="1">
        <v>7.6504629629629631E-3</v>
      </c>
      <c r="S41" s="1" t="str">
        <f t="shared" si="7"/>
        <v>03:35:41</v>
      </c>
      <c r="T41" s="1">
        <f t="shared" si="8"/>
        <v>185741</v>
      </c>
      <c r="U41" s="1">
        <f t="shared" si="9"/>
        <v>2.1497800925925925</v>
      </c>
      <c r="V41" s="1" t="str">
        <f t="shared" si="10"/>
        <v>00:08:15</v>
      </c>
      <c r="W41" s="1">
        <f t="shared" si="11"/>
        <v>494.99999999999994</v>
      </c>
      <c r="X41" s="1">
        <v>5.7291666666666663E-3</v>
      </c>
      <c r="Y41" s="1" t="str">
        <f t="shared" si="12"/>
        <v>14:38:15</v>
      </c>
      <c r="Z41" s="1">
        <f t="shared" si="13"/>
        <v>139095</v>
      </c>
      <c r="AA41" s="1">
        <f t="shared" si="14"/>
        <v>1.6098958333333333</v>
      </c>
      <c r="AB41" s="1" t="str">
        <f t="shared" si="15"/>
        <v>12:38:09</v>
      </c>
      <c r="AC41" s="1">
        <f t="shared" si="16"/>
        <v>45489</v>
      </c>
      <c r="AD41" s="1">
        <v>0.52649305555555559</v>
      </c>
      <c r="AE41" s="1" t="str">
        <f t="shared" si="17"/>
        <v>02:57:58</v>
      </c>
      <c r="AF41" s="1">
        <f t="shared" si="18"/>
        <v>10678</v>
      </c>
      <c r="AG41" s="1">
        <v>0.12358796296296296</v>
      </c>
      <c r="AH41" s="1" t="str">
        <f t="shared" si="19"/>
        <v>00:00:00</v>
      </c>
      <c r="AI41" s="1">
        <f t="shared" si="20"/>
        <v>0</v>
      </c>
      <c r="AJ41" s="1">
        <v>0</v>
      </c>
      <c r="AK41" s="1">
        <v>0</v>
      </c>
      <c r="AL41" s="1">
        <v>0</v>
      </c>
    </row>
    <row r="42" spans="1:38">
      <c r="A42" t="str">
        <f t="shared" si="0"/>
        <v>20240730</v>
      </c>
      <c r="B42" s="2">
        <v>45503</v>
      </c>
      <c r="C42" s="1" t="s">
        <v>38</v>
      </c>
      <c r="D42" s="1" t="s">
        <v>41</v>
      </c>
      <c r="E42" s="1" t="s">
        <v>40</v>
      </c>
      <c r="F42" s="1">
        <v>2</v>
      </c>
      <c r="G42" s="1">
        <v>2</v>
      </c>
      <c r="H42" s="1">
        <v>0</v>
      </c>
      <c r="I42" s="1" t="str">
        <f t="shared" si="1"/>
        <v>00:00:00</v>
      </c>
      <c r="J42" s="1">
        <f t="shared" si="2"/>
        <v>0</v>
      </c>
      <c r="K42" s="1">
        <v>0</v>
      </c>
      <c r="L42" s="1" t="str">
        <f t="shared" si="3"/>
        <v>00:02:13</v>
      </c>
      <c r="M42" s="1">
        <f t="shared" si="4"/>
        <v>133</v>
      </c>
      <c r="N42" s="1">
        <v>1.5393518518518519E-3</v>
      </c>
      <c r="O42" s="1">
        <v>1</v>
      </c>
      <c r="P42" s="1" t="str">
        <f t="shared" si="5"/>
        <v>00:08:56</v>
      </c>
      <c r="Q42" s="1">
        <f t="shared" si="6"/>
        <v>536</v>
      </c>
      <c r="R42" s="1">
        <v>6.2037037037037035E-3</v>
      </c>
      <c r="S42" s="1" t="str">
        <f t="shared" si="7"/>
        <v>00:17:52</v>
      </c>
      <c r="T42" s="1">
        <f t="shared" si="8"/>
        <v>1072</v>
      </c>
      <c r="U42" s="1">
        <f t="shared" si="9"/>
        <v>1.2407407407407407E-2</v>
      </c>
      <c r="V42" s="1" t="str">
        <f t="shared" si="10"/>
        <v>00:08:50</v>
      </c>
      <c r="W42" s="1">
        <f t="shared" si="11"/>
        <v>530</v>
      </c>
      <c r="X42" s="1">
        <v>6.1342592592592594E-3</v>
      </c>
      <c r="Y42" s="1" t="str">
        <f t="shared" si="12"/>
        <v>00:17:40</v>
      </c>
      <c r="Z42" s="1">
        <f t="shared" si="13"/>
        <v>1060</v>
      </c>
      <c r="AA42" s="1">
        <f t="shared" si="14"/>
        <v>1.2268518518518519E-2</v>
      </c>
      <c r="AB42" s="1" t="str">
        <f t="shared" si="15"/>
        <v>00:00:00</v>
      </c>
      <c r="AC42" s="1">
        <f t="shared" si="16"/>
        <v>0</v>
      </c>
      <c r="AD42" s="1">
        <v>0</v>
      </c>
      <c r="AE42" s="1" t="str">
        <f t="shared" si="17"/>
        <v>00:00:14</v>
      </c>
      <c r="AF42" s="1">
        <f t="shared" si="18"/>
        <v>14</v>
      </c>
      <c r="AG42" s="1">
        <v>1.6203703703703703E-4</v>
      </c>
      <c r="AH42" s="1" t="str">
        <f t="shared" si="19"/>
        <v>00:00:00</v>
      </c>
      <c r="AI42" s="1">
        <f t="shared" si="20"/>
        <v>0</v>
      </c>
      <c r="AJ42" s="1">
        <v>0</v>
      </c>
      <c r="AK42" s="1">
        <v>0</v>
      </c>
      <c r="AL42" s="1">
        <v>0</v>
      </c>
    </row>
    <row r="43" spans="1:38">
      <c r="A43" t="str">
        <f t="shared" si="0"/>
        <v>20240730</v>
      </c>
      <c r="B43" s="2">
        <v>45503</v>
      </c>
      <c r="C43" s="1" t="s">
        <v>38</v>
      </c>
      <c r="D43" s="1" t="s">
        <v>42</v>
      </c>
      <c r="E43" s="1" t="s">
        <v>40</v>
      </c>
      <c r="F43" s="1">
        <v>0</v>
      </c>
      <c r="G43" s="1">
        <v>0</v>
      </c>
      <c r="H43" s="1">
        <v>0</v>
      </c>
      <c r="I43" s="1" t="str">
        <f t="shared" si="1"/>
        <v>00:00:00</v>
      </c>
      <c r="J43" s="1">
        <f t="shared" si="2"/>
        <v>0</v>
      </c>
      <c r="K43" s="1">
        <v>0</v>
      </c>
      <c r="L43" s="1" t="str">
        <f t="shared" si="3"/>
        <v>00:00:00</v>
      </c>
      <c r="M43" s="1">
        <f t="shared" si="4"/>
        <v>0</v>
      </c>
      <c r="N43" s="1">
        <v>0</v>
      </c>
      <c r="O43" s="1">
        <v>0</v>
      </c>
      <c r="P43" s="1" t="str">
        <f t="shared" si="5"/>
        <v>00:00:00</v>
      </c>
      <c r="Q43" s="1">
        <f t="shared" si="6"/>
        <v>0</v>
      </c>
      <c r="R43" s="1">
        <v>0</v>
      </c>
      <c r="S43" s="1" t="str">
        <f t="shared" si="7"/>
        <v>00:00:00</v>
      </c>
      <c r="T43" s="1">
        <f t="shared" si="8"/>
        <v>0</v>
      </c>
      <c r="U43" s="1">
        <f t="shared" si="9"/>
        <v>0</v>
      </c>
      <c r="V43" s="1" t="str">
        <f t="shared" si="10"/>
        <v>00:00:00</v>
      </c>
      <c r="W43" s="1">
        <f t="shared" si="11"/>
        <v>0</v>
      </c>
      <c r="X43" s="1">
        <v>0</v>
      </c>
      <c r="Y43" s="1" t="str">
        <f t="shared" si="12"/>
        <v>00:00:00</v>
      </c>
      <c r="Z43" s="1">
        <f t="shared" si="13"/>
        <v>0</v>
      </c>
      <c r="AA43" s="1">
        <f t="shared" si="14"/>
        <v>0</v>
      </c>
      <c r="AB43" s="1" t="str">
        <f t="shared" si="15"/>
        <v>00:00:00</v>
      </c>
      <c r="AC43" s="1">
        <f t="shared" si="16"/>
        <v>0</v>
      </c>
      <c r="AD43" s="1">
        <v>0</v>
      </c>
      <c r="AE43" s="1" t="str">
        <f t="shared" si="17"/>
        <v>00:00:00</v>
      </c>
      <c r="AF43" s="1">
        <f t="shared" si="18"/>
        <v>0</v>
      </c>
      <c r="AG43" s="1">
        <v>0</v>
      </c>
      <c r="AH43" s="1" t="str">
        <f t="shared" si="19"/>
        <v>00:00:00</v>
      </c>
      <c r="AI43" s="1">
        <f t="shared" si="20"/>
        <v>0</v>
      </c>
      <c r="AJ43" s="1">
        <v>0</v>
      </c>
      <c r="AK43" s="1">
        <v>0</v>
      </c>
      <c r="AL43" s="1">
        <v>0</v>
      </c>
    </row>
    <row r="44" spans="1:38">
      <c r="A44" t="str">
        <f t="shared" si="0"/>
        <v>20240731</v>
      </c>
      <c r="B44" s="2">
        <v>45504</v>
      </c>
      <c r="C44" s="1" t="s">
        <v>38</v>
      </c>
      <c r="D44" s="1" t="s">
        <v>39</v>
      </c>
      <c r="E44" s="1" t="s">
        <v>40</v>
      </c>
      <c r="F44" s="1">
        <v>301</v>
      </c>
      <c r="G44" s="1">
        <v>296</v>
      </c>
      <c r="H44" s="1">
        <v>5</v>
      </c>
      <c r="I44" s="1" t="str">
        <f t="shared" si="1"/>
        <v>00:00:00</v>
      </c>
      <c r="J44" s="1">
        <f t="shared" si="2"/>
        <v>0</v>
      </c>
      <c r="K44" s="1">
        <v>0</v>
      </c>
      <c r="L44" s="1" t="str">
        <f t="shared" si="3"/>
        <v>00:00:05</v>
      </c>
      <c r="M44" s="1">
        <f t="shared" si="4"/>
        <v>5</v>
      </c>
      <c r="N44" s="1">
        <v>5.7870370370370373E-5</v>
      </c>
      <c r="O44" s="1">
        <v>283.99999999999989</v>
      </c>
      <c r="P44" s="1" t="str">
        <f t="shared" si="5"/>
        <v>00:09:23</v>
      </c>
      <c r="Q44" s="1">
        <f t="shared" si="6"/>
        <v>563</v>
      </c>
      <c r="R44" s="1">
        <v>6.5162037037037037E-3</v>
      </c>
      <c r="S44" s="1" t="str">
        <f t="shared" si="7"/>
        <v>22:17:28</v>
      </c>
      <c r="T44" s="1">
        <f t="shared" si="8"/>
        <v>166648</v>
      </c>
      <c r="U44" s="1">
        <f t="shared" si="9"/>
        <v>1.9287962962962963</v>
      </c>
      <c r="V44" s="1" t="str">
        <f t="shared" si="10"/>
        <v>00:07:08</v>
      </c>
      <c r="W44" s="1">
        <f t="shared" si="11"/>
        <v>428.00000000000006</v>
      </c>
      <c r="X44" s="1">
        <v>4.9537037037037041E-3</v>
      </c>
      <c r="Y44" s="1" t="str">
        <f t="shared" si="12"/>
        <v>11:11:28</v>
      </c>
      <c r="Z44" s="1">
        <f t="shared" si="13"/>
        <v>126688.00000000001</v>
      </c>
      <c r="AA44" s="1">
        <f t="shared" si="14"/>
        <v>1.4662962962962964</v>
      </c>
      <c r="AB44" s="1" t="str">
        <f t="shared" si="15"/>
        <v>09:38:14</v>
      </c>
      <c r="AC44" s="1">
        <f t="shared" si="16"/>
        <v>34694</v>
      </c>
      <c r="AD44" s="1">
        <v>0.40155092592592595</v>
      </c>
      <c r="AE44" s="1" t="str">
        <f t="shared" si="17"/>
        <v>03:12:24</v>
      </c>
      <c r="AF44" s="1">
        <f t="shared" si="18"/>
        <v>11543.999999999998</v>
      </c>
      <c r="AG44" s="1">
        <v>0.1336111111111111</v>
      </c>
      <c r="AH44" s="1" t="str">
        <f t="shared" si="19"/>
        <v>00:00:00</v>
      </c>
      <c r="AI44" s="1">
        <f t="shared" si="20"/>
        <v>0</v>
      </c>
      <c r="AJ44" s="1">
        <v>0</v>
      </c>
      <c r="AK44" s="1">
        <v>0</v>
      </c>
      <c r="AL44" s="1">
        <v>0</v>
      </c>
    </row>
    <row r="45" spans="1:38">
      <c r="A45" t="str">
        <f t="shared" si="0"/>
        <v>20240731</v>
      </c>
      <c r="B45" s="2">
        <v>45504</v>
      </c>
      <c r="C45" s="1" t="s">
        <v>38</v>
      </c>
      <c r="D45" s="1" t="s">
        <v>41</v>
      </c>
      <c r="E45" s="1" t="s">
        <v>40</v>
      </c>
      <c r="F45" s="1">
        <v>0</v>
      </c>
      <c r="G45" s="1">
        <v>0</v>
      </c>
      <c r="H45" s="1">
        <v>0</v>
      </c>
      <c r="I45" s="1" t="str">
        <f t="shared" si="1"/>
        <v>00:00:00</v>
      </c>
      <c r="J45" s="1">
        <f t="shared" si="2"/>
        <v>0</v>
      </c>
      <c r="K45" s="1">
        <v>0</v>
      </c>
      <c r="L45" s="1" t="str">
        <f t="shared" si="3"/>
        <v>00:00:00</v>
      </c>
      <c r="M45" s="1">
        <f t="shared" si="4"/>
        <v>0</v>
      </c>
      <c r="N45" s="1">
        <v>0</v>
      </c>
      <c r="O45" s="1">
        <v>0</v>
      </c>
      <c r="P45" s="1" t="str">
        <f t="shared" si="5"/>
        <v>00:00:00</v>
      </c>
      <c r="Q45" s="1">
        <f t="shared" si="6"/>
        <v>0</v>
      </c>
      <c r="R45" s="1">
        <v>0</v>
      </c>
      <c r="S45" s="1" t="str">
        <f t="shared" si="7"/>
        <v>00:00:00</v>
      </c>
      <c r="T45" s="1">
        <f t="shared" si="8"/>
        <v>0</v>
      </c>
      <c r="U45" s="1">
        <f t="shared" si="9"/>
        <v>0</v>
      </c>
      <c r="V45" s="1" t="str">
        <f t="shared" si="10"/>
        <v>00:00:00</v>
      </c>
      <c r="W45" s="1">
        <f t="shared" si="11"/>
        <v>0</v>
      </c>
      <c r="X45" s="1">
        <v>0</v>
      </c>
      <c r="Y45" s="1" t="str">
        <f t="shared" si="12"/>
        <v>00:00:00</v>
      </c>
      <c r="Z45" s="1">
        <f t="shared" si="13"/>
        <v>0</v>
      </c>
      <c r="AA45" s="1">
        <f t="shared" si="14"/>
        <v>0</v>
      </c>
      <c r="AB45" s="1" t="str">
        <f t="shared" si="15"/>
        <v>00:00:00</v>
      </c>
      <c r="AC45" s="1">
        <f t="shared" si="16"/>
        <v>0</v>
      </c>
      <c r="AD45" s="1">
        <v>0</v>
      </c>
      <c r="AE45" s="1" t="str">
        <f t="shared" si="17"/>
        <v>00:00:00</v>
      </c>
      <c r="AF45" s="1">
        <f t="shared" si="18"/>
        <v>0</v>
      </c>
      <c r="AG45" s="1">
        <v>0</v>
      </c>
      <c r="AH45" s="1" t="str">
        <f t="shared" si="19"/>
        <v>00:00:00</v>
      </c>
      <c r="AI45" s="1">
        <f t="shared" si="20"/>
        <v>0</v>
      </c>
      <c r="AJ45" s="1">
        <v>0</v>
      </c>
      <c r="AK45" s="1">
        <v>0</v>
      </c>
      <c r="AL45" s="1">
        <v>0</v>
      </c>
    </row>
    <row r="46" spans="1:38">
      <c r="A46" t="str">
        <f t="shared" si="0"/>
        <v>20240731</v>
      </c>
      <c r="B46" s="2">
        <v>45504</v>
      </c>
      <c r="C46" s="1" t="s">
        <v>38</v>
      </c>
      <c r="D46" s="1" t="s">
        <v>42</v>
      </c>
      <c r="E46" s="1" t="s">
        <v>40</v>
      </c>
      <c r="F46" s="1">
        <v>0</v>
      </c>
      <c r="G46" s="1">
        <v>0</v>
      </c>
      <c r="H46" s="1">
        <v>0</v>
      </c>
      <c r="I46" s="1" t="str">
        <f t="shared" si="1"/>
        <v>00:00:00</v>
      </c>
      <c r="J46" s="1">
        <f t="shared" si="2"/>
        <v>0</v>
      </c>
      <c r="K46" s="1">
        <v>0</v>
      </c>
      <c r="L46" s="1" t="str">
        <f t="shared" si="3"/>
        <v>00:00:00</v>
      </c>
      <c r="M46" s="1">
        <f t="shared" si="4"/>
        <v>0</v>
      </c>
      <c r="N46" s="1">
        <v>0</v>
      </c>
      <c r="O46" s="1">
        <v>0</v>
      </c>
      <c r="P46" s="1" t="str">
        <f t="shared" si="5"/>
        <v>00:00:00</v>
      </c>
      <c r="Q46" s="1">
        <f t="shared" si="6"/>
        <v>0</v>
      </c>
      <c r="R46" s="1">
        <v>0</v>
      </c>
      <c r="S46" s="1" t="str">
        <f t="shared" si="7"/>
        <v>00:00:00</v>
      </c>
      <c r="T46" s="1">
        <f t="shared" si="8"/>
        <v>0</v>
      </c>
      <c r="U46" s="1">
        <f t="shared" si="9"/>
        <v>0</v>
      </c>
      <c r="V46" s="1" t="str">
        <f t="shared" si="10"/>
        <v>00:00:00</v>
      </c>
      <c r="W46" s="1">
        <f t="shared" si="11"/>
        <v>0</v>
      </c>
      <c r="X46" s="1">
        <v>0</v>
      </c>
      <c r="Y46" s="1" t="str">
        <f t="shared" si="12"/>
        <v>00:00:00</v>
      </c>
      <c r="Z46" s="1">
        <f t="shared" si="13"/>
        <v>0</v>
      </c>
      <c r="AA46" s="1">
        <f t="shared" si="14"/>
        <v>0</v>
      </c>
      <c r="AB46" s="1" t="str">
        <f t="shared" si="15"/>
        <v>00:00:00</v>
      </c>
      <c r="AC46" s="1">
        <f t="shared" si="16"/>
        <v>0</v>
      </c>
      <c r="AD46" s="1">
        <v>0</v>
      </c>
      <c r="AE46" s="1" t="str">
        <f t="shared" si="17"/>
        <v>00:00:00</v>
      </c>
      <c r="AF46" s="1">
        <f t="shared" si="18"/>
        <v>0</v>
      </c>
      <c r="AG46" s="1">
        <v>0</v>
      </c>
      <c r="AH46" s="1" t="str">
        <f t="shared" si="19"/>
        <v>00:00:00</v>
      </c>
      <c r="AI46" s="1">
        <f t="shared" si="20"/>
        <v>0</v>
      </c>
      <c r="AJ46" s="1">
        <v>0</v>
      </c>
      <c r="AK46" s="1">
        <v>0</v>
      </c>
      <c r="AL46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a87a74-493f-4063-8d4a-9e052357f3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66E5D0E72F23499DA31CC2F9062A66" ma:contentTypeVersion="11" ma:contentTypeDescription="Create a new document." ma:contentTypeScope="" ma:versionID="7c743451f89341eecdb3419fcad95337">
  <xsd:schema xmlns:xsd="http://www.w3.org/2001/XMLSchema" xmlns:xs="http://www.w3.org/2001/XMLSchema" xmlns:p="http://schemas.microsoft.com/office/2006/metadata/properties" xmlns:ns3="e5a87a74-493f-4063-8d4a-9e052357f371" targetNamespace="http://schemas.microsoft.com/office/2006/metadata/properties" ma:root="true" ma:fieldsID="6b06f42e48c0c5e5607c12e8c4571d0d" ns3:_="">
    <xsd:import namespace="e5a87a74-493f-4063-8d4a-9e052357f37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87a74-493f-4063-8d4a-9e052357f37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81B8D8-7C36-46DE-95CB-2DF56CDC2863}"/>
</file>

<file path=customXml/itemProps2.xml><?xml version="1.0" encoding="utf-8"?>
<ds:datastoreItem xmlns:ds="http://schemas.openxmlformats.org/officeDocument/2006/customXml" ds:itemID="{03423AF0-22A2-4C0E-8032-DE3B465EE174}"/>
</file>

<file path=customXml/itemProps3.xml><?xml version="1.0" encoding="utf-8"?>
<ds:datastoreItem xmlns:ds="http://schemas.openxmlformats.org/officeDocument/2006/customXml" ds:itemID="{B94DFAB0-6058-41EB-9010-8B52CBA15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Next2Level Colombia</dc:creator>
  <cp:keywords/>
  <dc:description/>
  <cp:lastModifiedBy>Daniel Esteban Cristancho Merchan</cp:lastModifiedBy>
  <cp:revision/>
  <dcterms:created xsi:type="dcterms:W3CDTF">2024-08-02T18:51:33Z</dcterms:created>
  <dcterms:modified xsi:type="dcterms:W3CDTF">2024-10-21T03:57:48Z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0x0101005766E5D0E72F23499DA31CC2F9062A66</vt:lpwstr>
  </property>
</Properties>
</file>